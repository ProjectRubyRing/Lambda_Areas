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C:\Users\taka_\Claude\Lambda_Areas\"/>
    </mc:Choice>
  </mc:AlternateContent>
  <xr:revisionPtr revIDLastSave="0" documentId="13_ncr:1_{D76D9AF5-037B-4C12-8724-F02C26BFF6B9}" xr6:coauthVersionLast="47" xr6:coauthVersionMax="47" xr10:uidLastSave="{00000000-0000-0000-0000-000000000000}"/>
  <bookViews>
    <workbookView xWindow="23325" yWindow="-13635" windowWidth="20640" windowHeight="12750" xr2:uid="{00000000-000D-0000-FFFF-FFFF00000000}"/>
  </bookViews>
  <sheets>
    <sheet name="00_表紙" sheetId="1" r:id="rId1"/>
    <sheet name="01_やさしく解説" sheetId="2" r:id="rId2"/>
    <sheet name="02_歴史と背景" sheetId="3" r:id="rId3"/>
    <sheet name="03_エイリアスの仕組み" sheetId="4" r:id="rId4"/>
    <sheet name="04_ランタイムの基礎" sheetId="5" r:id="rId5"/>
    <sheet name="05_廃止予定表" sheetId="6" r:id="rId6"/>
    <sheet name="06_方式と手順" sheetId="7" r:id="rId7"/>
    <sheet name="07_方式の評価" sheetId="8" r:id="rId8"/>
    <sheet name="08_よくある質問" sheetId="9" r:id="rId9"/>
    <sheet name="09_チェックリスト" sheetId="10" r:id="rId10"/>
    <sheet name="10_用語集" sheetId="11" r:id="rId11"/>
    <sheet name="11_参考情報" sheetId="12" r:id="rId12"/>
  </sheets>
  <definedNames>
    <definedName name="_xlnm.Print_Area" localSheetId="0">'00_表紙'!$A$1:$F$39</definedName>
    <definedName name="_xlnm.Print_Area" localSheetId="1">'01_やさしく解説'!$A$1:$H$59</definedName>
    <definedName name="_xlnm.Print_Area" localSheetId="2">'02_歴史と背景'!$A$1:$F$70</definedName>
    <definedName name="_xlnm.Print_Area" localSheetId="3">'03_エイリアスの仕組み'!$A$1:$F$85</definedName>
    <definedName name="_xlnm.Print_Area" localSheetId="4">'04_ランタイムの基礎'!$A$1:$G$63</definedName>
    <definedName name="_xlnm.Print_Area" localSheetId="5">'05_廃止予定表'!$A$1:$L$44</definedName>
    <definedName name="_xlnm.Print_Area" localSheetId="6">'06_方式と手順'!$A$1:$I$68</definedName>
    <definedName name="_xlnm.Print_Area" localSheetId="7">'07_方式の評価'!$A$1:$M$90</definedName>
    <definedName name="_xlnm.Print_Area" localSheetId="8">'08_よくある質問'!$A$1:$F$19</definedName>
    <definedName name="_xlnm.Print_Area" localSheetId="9">'09_チェックリスト'!$A$1:$J$46</definedName>
    <definedName name="_xlnm.Print_Area" localSheetId="10">'10_用語集'!$A$1:$F$43</definedName>
    <definedName name="_xlnm.Print_Area" localSheetId="11">'11_参考情報'!$A$1:$G$30</definedName>
    <definedName name="_xlnm.Print_Titles" localSheetId="5">'05_廃止予定表'!$7:$7</definedName>
    <definedName name="_xlnm.Print_Titles" localSheetId="8">'08_よくある質問'!$5:$5</definedName>
    <definedName name="_xlnm.Print_Titles" localSheetId="9">'09_チェックリスト'!$16:$16</definedName>
    <definedName name="_xlnm.Print_Titles" localSheetId="10">'10_用語集'!$5:$5</definedName>
    <definedName name="_xlnm.Print_Titles" localSheetId="11">'11_参考情報'!$5:$5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0" l="1"/>
  <c r="D8" i="10"/>
  <c r="D7" i="10"/>
  <c r="J69" i="8"/>
  <c r="J68" i="8"/>
  <c r="K68" i="8" s="1"/>
  <c r="J67" i="8"/>
  <c r="J66" i="8"/>
  <c r="K66" i="8" s="1"/>
  <c r="J65" i="8"/>
  <c r="J64" i="8"/>
  <c r="K30" i="6"/>
  <c r="J30" i="6"/>
  <c r="I30" i="6"/>
  <c r="K29" i="6"/>
  <c r="J29" i="6"/>
  <c r="I29" i="6"/>
  <c r="D5" i="6"/>
  <c r="D10" i="10" l="1"/>
  <c r="K69" i="8"/>
  <c r="K67" i="8"/>
  <c r="K65" i="8"/>
  <c r="K38" i="6"/>
  <c r="J38" i="6"/>
  <c r="I38" i="6"/>
  <c r="I36" i="6"/>
  <c r="K35" i="6"/>
  <c r="J35" i="6"/>
  <c r="I35" i="6"/>
  <c r="J32" i="6"/>
  <c r="K31" i="6"/>
  <c r="I31" i="6"/>
  <c r="K28" i="6"/>
  <c r="J28" i="6"/>
  <c r="K27" i="6"/>
  <c r="I27" i="6"/>
  <c r="J26" i="6"/>
  <c r="K25" i="6"/>
  <c r="I25" i="6"/>
  <c r="J24" i="6"/>
  <c r="I24" i="6"/>
  <c r="J23" i="6"/>
  <c r="K22" i="6"/>
  <c r="I22" i="6"/>
  <c r="J21" i="6"/>
  <c r="K20" i="6"/>
  <c r="I20" i="6"/>
  <c r="J19" i="6"/>
  <c r="K18" i="6"/>
  <c r="I18" i="6"/>
  <c r="J17" i="6"/>
  <c r="K16" i="6"/>
  <c r="I16" i="6"/>
  <c r="K15" i="6"/>
  <c r="K14" i="6"/>
  <c r="I14" i="6"/>
  <c r="J13" i="6"/>
  <c r="K12" i="6"/>
  <c r="K11" i="6"/>
  <c r="I11" i="6"/>
  <c r="J10" i="6"/>
  <c r="I10" i="6"/>
  <c r="J9" i="6"/>
  <c r="K8" i="6"/>
  <c r="I8" i="6"/>
  <c r="K34" i="6"/>
  <c r="J34" i="6"/>
  <c r="I34" i="6"/>
  <c r="K33" i="6"/>
  <c r="J33" i="6"/>
  <c r="I33" i="6"/>
  <c r="K32" i="6"/>
  <c r="I32" i="6"/>
  <c r="J31" i="6"/>
  <c r="I28" i="6"/>
  <c r="J27" i="6"/>
  <c r="K26" i="6"/>
  <c r="I26" i="6"/>
  <c r="J25" i="6"/>
  <c r="K24" i="6"/>
  <c r="K23" i="6"/>
  <c r="I23" i="6"/>
  <c r="J22" i="6"/>
  <c r="K21" i="6"/>
  <c r="I21" i="6"/>
  <c r="J20" i="6"/>
  <c r="K37" i="6"/>
  <c r="I19" i="6"/>
  <c r="J18" i="6"/>
  <c r="K17" i="6"/>
  <c r="I17" i="6"/>
  <c r="J16" i="6"/>
  <c r="J15" i="6"/>
  <c r="I15" i="6"/>
  <c r="J14" i="6"/>
  <c r="K13" i="6"/>
  <c r="I13" i="6"/>
  <c r="K19" i="6"/>
  <c r="I12" i="6"/>
  <c r="J11" i="6"/>
  <c r="K10" i="6"/>
  <c r="K9" i="6"/>
  <c r="I9" i="6"/>
  <c r="J8" i="6"/>
  <c r="J37" i="6"/>
  <c r="I37" i="6"/>
  <c r="K36" i="6"/>
  <c r="J36" i="6"/>
  <c r="J12" i="6"/>
</calcChain>
</file>

<file path=xl/sharedStrings.xml><?xml version="1.0" encoding="utf-8"?>
<sst xmlns="http://schemas.openxmlformats.org/spreadsheetml/2006/main" count="1475" uniqueCount="1198">
  <si>
    <t>AWS Lambda ランタイム更新を「エイリアス切替」で行う方式 ― 解説と評価</t>
  </si>
  <si>
    <t>バージョン未発行版（$LATEST）を新しいバージョンとして発行し、エイリアスの向き先を変更してリリースする方式を、エイリアス機能のしくみ・登場の歴史と背景・手順・評価まで、小学生にもわかる言葉で整理した資料です。</t>
  </si>
  <si>
    <t>作成日</t>
  </si>
  <si>
    <t>2026年10月17日</t>
  </si>
  <si>
    <t>情報の基準</t>
  </si>
  <si>
    <t>2026年10月17日時点で確認したAWS公式ドキュメント・AWS公式ブログ等（出典は「11_参考情報」）。日付や仕様はAWSの計画値・現行仕様であり、今後変更される可能性があります。</t>
  </si>
  <si>
    <t>対象</t>
  </si>
  <si>
    <t>AWS Lambda（2026年10月からAWSのドキュメントでは「Lambda Event Functions」とも呼ばれる従来型の関数）。zip形式を中心に、コンテナイメージ形式・Lambda Managed Instances・Lambda@Edge・Lambda Web Functionsとの違いも補足。</t>
  </si>
  <si>
    <t>読者</t>
  </si>
  <si>
    <t>はじめての人（小学生にもわかる「やさしく言うと」欄）から、実際に作業する技術者（コマンド例・注意点・チェックリスト）まで。</t>
  </si>
  <si>
    <t>表の見方</t>
  </si>
  <si>
    <t>濃い灰色＝見出し／薄い灰色＝項目名・補足／黒いマス＝リクエストが流れている所（06シート）／点線枠のセル＝自由に書き換えてよい入力セル。</t>
  </si>
  <si>
    <t>結論（3行まとめ）</t>
  </si>
  <si>
    <t>① 本方式（$LATESTでランタイムを変更 → 新しいバージョンとして発行 → エイリアスの向き先を切替）は、AWS公式ドキュメントも「安全なデプロイとロールバックのため」に推奨する王道の方法で、ランタイム更新には強く推奨できます（評価：◎ 条件付き推奨）。</t>
  </si>
  <si>
    <t>② 最大の前提は「すべての呼び出し元がエイリアス経由で呼んでいること」。$LATEST（非修飾ARN）を直接呼ぶ利用者が1つでもあると、$LATESTを書き換えた瞬間にその利用者へ影響が出て、方式の安全性が崩れます。</t>
  </si>
  <si>
    <t>③ 切り戻し先の旧バージョンは「古いランタイムのまま」なので、切り戻しは一時避難です。廃止日（例：python3.10は2026/10/31、dotnet8は2026/11/10）より前に移行を終え、加重エイリアス（カナリア）やCodeDeployで段階的に切り替えると、さらに安全になります。</t>
  </si>
  <si>
    <t>30秒でわかる全体像</t>
  </si>
  <si>
    <t>やさしく言うと</t>
  </si>
  <si>
    <t>Lambdaの土台（ランタイム）には「使用期限」があります。期限が来る前に新しい土台へ乗りかえます。そのとき、①下書き（$LATEST）を新しい土台用に直す、②完成品（バージョン）として保存する、③「本番の名札」（エイリアス）を新しい完成品に付けかえる、という順番でやると、もし失敗しても名札を元に戻すだけで、すぐに元どおりにできます。これが、この資料で評価する方式です。</t>
  </si>
  <si>
    <t>目次</t>
  </si>
  <si>
    <t>シート</t>
  </si>
  <si>
    <t>内容</t>
  </si>
  <si>
    <t>こんな人に</t>
  </si>
  <si>
    <t>01_やさしく解説</t>
  </si>
  <si>
    <t>給食センターのたとえで、Lambda・ランタイム・バージョン・エイリアスをやさしく説明</t>
  </si>
  <si>
    <t>はじめての人、説明する立場の人</t>
  </si>
  <si>
    <t>02_歴史と背景</t>
  </si>
  <si>
    <t>2014年の誕生から2026年10月の最新動向まで。エイリアスが必要になった経緯</t>
  </si>
  <si>
    <t>背景から理解したい人</t>
  </si>
  <si>
    <t>03_エイリアスの仕組み</t>
  </si>
  <si>
    <t>$LATEST・バージョン・エイリアスの違い、ARN、加重エイリアスのルール、呼び出し元の設定</t>
  </si>
  <si>
    <t>設計する人</t>
  </si>
  <si>
    <t>04_ランタイムの基礎</t>
  </si>
  <si>
    <t>2種類のランタイム更新、ランタイム管理コントロール、廃止ポリシー、非互換の観点</t>
  </si>
  <si>
    <t>更新を計画する人</t>
  </si>
  <si>
    <t>05_廃止予定表</t>
  </si>
  <si>
    <t>主要ランタイムの廃止日一覧（残り日数・状態を自動計算）</t>
  </si>
  <si>
    <t>期限を管理する人</t>
  </si>
  <si>
    <t>06_方式と手順</t>
  </si>
  <si>
    <t>本方式の状態の移り変わりと、AWS CLI／SAMでの具体的な手順</t>
  </si>
  <si>
    <t>作業する人</t>
  </si>
  <si>
    <t>07_方式の評価</t>
  </si>
  <si>
    <t>観点別評価、メリット、リスクと対策、他方式との点数比較（自動計算）</t>
  </si>
  <si>
    <t>方式を判断する人</t>
  </si>
  <si>
    <t>08_よくある質問</t>
  </si>
  <si>
    <t>作業前によく出る疑問12問</t>
  </si>
  <si>
    <t>全員</t>
  </si>
  <si>
    <t>09_チェックリスト</t>
  </si>
  <si>
    <t>記入用の作業チェックリスト（進捗を自動計算）</t>
  </si>
  <si>
    <t>作業する人・確認する人</t>
  </si>
  <si>
    <t>10_用語集</t>
  </si>
  <si>
    <t>用語の意味と読み方、やさしい説明</t>
  </si>
  <si>
    <t>11_参考情報</t>
  </si>
  <si>
    <t>出典（AWS公式ドキュメント・ブログ等）</t>
  </si>
  <si>
    <t>裏付けを確認したい人</t>
  </si>
  <si>
    <t>1. やさしく解説 ― 給食センターでたとえると</t>
  </si>
  <si>
    <t>むずかしい言葉を、学校の給食センターのお話に置きかえて説明します。</t>
  </si>
  <si>
    <t>◀ 目次へ戻る</t>
  </si>
  <si>
    <t>Lambda（ラムダ）ってなに？</t>
  </si>
  <si>
    <t>AWS Lambda（エーダブリューエス・ラムダ）は、Amazonのクラウド（インターネットの向こうにある大きなコンピューター）で、プログラムを「呼ばれたときだけ」動かしてくれるしくみです。自分でサーバー（コンピューター）を用意したり、電源やOSの手入れをしたりしなくてよいので「サーバーレス」と呼ばれます。お店のサイトで注文ボタンが押されたとき、写真がアップロードされたとき、毎朝9時になったとき――そんな「きっかけ（イベント）」があると、Lambdaの関数が目をさまして仕事をします。</t>
  </si>
  <si>
    <t>Lambdaは「注文が来たときだけ動く、給食センターの調理ロボット」です。</t>
  </si>
  <si>
    <t>ことばの対応表（本当のことば ⇔ たとえ）</t>
  </si>
  <si>
    <t>本当のことば</t>
  </si>
  <si>
    <t>たとえ（給食センター）</t>
  </si>
  <si>
    <t>ひとことで言うと</t>
  </si>
  <si>
    <t>Lambda関数</t>
  </si>
  <si>
    <t>給食センターの調理ロボット</t>
  </si>
  <si>
    <t>注文（イベント）が来たときだけ動くプログラム</t>
  </si>
  <si>
    <t>イベント・呼び出し</t>
  </si>
  <si>
    <t>「給食をください」という注文</t>
  </si>
  <si>
    <t>ロボットを動かすきっかけ</t>
  </si>
  <si>
    <t>ランタイム
（例：python3.10）</t>
  </si>
  <si>
    <t>ロボットに入っている「調理キット」と「説明書の言葉」</t>
  </si>
  <si>
    <t>プログラムを動かすための土台（言語の実行環境＋OS＋ライブラリ）</t>
  </si>
  <si>
    <t>Amazon Linux（OS）</t>
  </si>
  <si>
    <t>調理室そのもの（建物）</t>
  </si>
  <si>
    <t>ランタイムのさらに下で動く基本ソフト。これにも寿命がある</t>
  </si>
  <si>
    <t>ランタイムの廃止
（サポート終了）</t>
  </si>
  <si>
    <t>調理キットのメーカー保証が切れる</t>
  </si>
  <si>
    <t>安全のための修理（セキュリティ更新）が来なくなる</t>
  </si>
  <si>
    <t>ランタイムバージョン
（パッチ）</t>
  </si>
  <si>
    <t>キットの小さな部品交換（メーカーが自動でやってくれる）</t>
  </si>
  <si>
    <t>同じ言語世代の中での安全修正。AWSが自動で当てるのが基本</t>
  </si>
  <si>
    <t>$LATEST
（バージョン未発行版）</t>
  </si>
  <si>
    <t>えんぴつで書いた下書きレシピ</t>
  </si>
  <si>
    <t>いつでも書き直せる「作業中」の版</t>
  </si>
  <si>
    <t>バージョン
（1, 2, 3 …）</t>
  </si>
  <si>
    <t>ラミネートした番号つきのレシピカード</t>
  </si>
  <si>
    <t>発行したら二度と書き換えられない「完成品の写真」</t>
  </si>
  <si>
    <t>エイリアス
（例：prod）</t>
  </si>
  <si>
    <t>「きょうの給食」という名札（矢印）</t>
  </si>
  <si>
    <t>どのカードを使うかを指す、付けかえ自由な名札</t>
  </si>
  <si>
    <t>加重エイリアス</t>
  </si>
  <si>
    <t>名札を2枚のカードにまたがせて「10人に1人だけ新しい味」</t>
  </si>
  <si>
    <t>新旧2つのバージョンに割合で振り分ける</t>
  </si>
  <si>
    <t>切り戻し
（ロールバック）</t>
  </si>
  <si>
    <t>名札を元のカードに戻す</t>
  </si>
  <si>
    <t>問題があれば数秒で元どおり</t>
  </si>
  <si>
    <t>CodeDeploy</t>
  </si>
  <si>
    <t>自動の配膳係（少しずつ新メニューを増やし、具合の悪い子が出たら自動で元に戻す）</t>
  </si>
  <si>
    <t>段階的な切替と自動切り戻しを自動で行うAWSのサービス</t>
  </si>
  <si>
    <t>お話でわかる「エイリアスでランタイム更新」</t>
  </si>
  <si>
    <t>① いまの給食は「レシピカード No.5（古い調理キット python3.10 用）」で作っています。みんなは「きょうの給食」という名札が付いたカードを見て、給食を作ってもらいます。</t>
  </si>
  <si>
    <t>② 調理キットのメーカー保証が、もうすぐ切れます（ランタイムの廃止が近い）。そこで、下書きレシピ（$LATEST）を新しい調理キット（python3.13）用に書きかえます。下書きなので、まだ誰の給食にも使われません。※ただし「名札を見ずに、下書きを直接見て作ってもらっている人」がいると、その人の給食はここで変わってしまいます。</t>
  </si>
  <si>
    <t>③ 下書きで試しに作って味見（テスト）。OKなら、ラミネートして「レシピカード No.6」にします（新しいバージョンの発行）。No.6 はもう書きかえられません。</t>
  </si>
  <si>
    <t>④ いきなり全員を新しい味にするのはこわいので、まず「10人に1人」だけ No.6 で作ります（加重エイリアス＝カナリアリリース）。</t>
  </si>
  <si>
    <t>⑤ おなかをこわす子がいなければ、名札を全部 No.6 に付けかえます（エイリアスの切替＝リリース完了）。</t>
  </si>
  <si>
    <t>⑥ もし問題が起きたら、名札を No.5 に戻すだけ（切り戻し）。作り直しは不要で、すぐに元の給食に戻ります。</t>
  </si>
  <si>
    <t>⑦ ただし No.5 は「保証切れが近い古いキット」用のカードです。戻すのは一時的な避難。原因を直して、新しいカード No.7 を作り直しましょう。</t>
  </si>
  <si>
    <t>図でみる（切替前 → 準備 → 切替後 → 切り戻し）</t>
  </si>
  <si>
    <t>切替前</t>
  </si>
  <si>
    <t>呼び出す人たち
（API Gateway・S3・SQS など）</t>
  </si>
  <si>
    <t>→</t>
  </si>
  <si>
    <t>名札（エイリアス）
prod</t>
  </si>
  <si>
    <t>カード No.5
python3.10
★いま使用中</t>
  </si>
  <si>
    <t>準備</t>
  </si>
  <si>
    <t>下書き（$LATEST）を
python3.13 用に書きかえ</t>
  </si>
  <si>
    <t>ラミネートする
（バージョン発行）</t>
  </si>
  <si>
    <t>カード No.6
python3.13
（まだ誰も使っていない）</t>
  </si>
  <si>
    <t>切替後</t>
  </si>
  <si>
    <t>呼び出す人たち
（設定は何も変えない）</t>
  </si>
  <si>
    <t>カード No.6
python3.13
★いま使用中</t>
  </si>
  <si>
    <t>切り戻し</t>
  </si>
  <si>
    <t>問題があれば、名札 prod を No.5 に戻すだけ。数秒で元どおり。ただし No.5 は保証切れが近い古いキット用なので、あくまで一時避難。</t>
  </si>
  <si>
    <t>いちばん大事な3つのこと</t>
  </si>
  <si>
    <t>・ 名札（エイリアス）を付けかえるだけで、新しい版にも古い版にも一瞬で切りかえられる。</t>
  </si>
  <si>
    <t>・ 完成したカード（バージョン）は書きかえられないから、「本番で何が動いているか」がはっきりする。</t>
  </si>
  <si>
    <t>・ みんなが名札を見て注文していないと（$LATESTを直接呼ぶ人がいると）、この方法の安全さは使えない。</t>
  </si>
  <si>
    <t>注意</t>
  </si>
  <si>
    <t>このたとえは理解のための単純化です。正確な条件（たとえば加重エイリアスは2つのバージョンで同じ実行ロールが必要、など）は「03_エイリアスの仕組み」以降で説明します。</t>
  </si>
  <si>
    <t>2. 登場の歴史と背景 ― なぜエイリアスが必要になったのか</t>
  </si>
  <si>
    <t>Lambdaの誕生から2026年10月の最新動向まで、エイリアスとランタイム更新の関係を時系列で整理します。</t>
  </si>
  <si>
    <t>5つの時代でみる流れ</t>
  </si>
  <si>
    <t>時代</t>
  </si>
  <si>
    <t>困りごと</t>
  </si>
  <si>
    <t>生まれた解決策</t>
  </si>
  <si>
    <t>第1期
2014年11月〜2015年秋
「上書きの時代」</t>
  </si>
  <si>
    <t>関数には「いまの状態」が1つあるだけ。更新すると即座に全利用者へ反映され、失敗したら古いコードを探して再アップロードするしかなかった。開発用と本番用を1つの関数で分けられなかった。</t>
  </si>
  <si>
    <t>利用者側の工夫（関数を開発用・本番用に別々に作る、など）。</t>
  </si>
  <si>
    <t>下書きレシピしかなく、書きかえた瞬間に全員の給食が変わってしまう。</t>
  </si>
  <si>
    <t>第2期
2015年10月〜
「バージョンとエイリアスの時代」</t>
  </si>
  <si>
    <t>本番利用が広がり「安全に入れ替えたい」「すぐ戻したい」「S3やAPIなど呼び出し元の設定を、更新のたびに変えたくない」という声が強まった。</t>
  </si>
  <si>
    <t>バージョン（変更できないスナップショット）とエイリアス（付けかえ可能な名前つきポインタ）。Blue/Green型の一括切替と即時切り戻しが可能に。</t>
  </si>
  <si>
    <t>ラミネートしたレシピカードと、「きょうの給食」の名札が登場。</t>
  </si>
  <si>
    <t>第3期
2017年11月〜
「少しずつ切りかえる時代」</t>
  </si>
  <si>
    <t>一括切替でも、切りかえた瞬間に全員へ影響する。問題を小さいうちに見つけたい。</t>
  </si>
  <si>
    <t>加重エイリアス（2つのバージョンへ割合で振り分け）。CodeDeployによるカナリア／リニア切替と、アラーム連動の自動ロールバック。SAMのAutoPublishAlias。</t>
  </si>
  <si>
    <t>10人に1人だけ新しい味で味見してもらう。</t>
  </si>
  <si>
    <t>第4期
2019年〜2024年
「ランタイムの寿命が重要になった時代」</t>
  </si>
  <si>
    <t>高速起動の機能（Provisioned Concurrency、SnapStart）が発行済みバージョン前提に。言語やOS（Amazon Linux 1→2→2023）のサポート終了が毎年のように訪れ、ランタイム更新が「定期作業」になった。</t>
  </si>
  <si>
    <t>ランタイム管理コントロール（2023年1月）、廃止ポリシーの段階化（作成ブロック→更新ブロック）、AWS公式ブログでの「バージョン＋エイリアスでの更新」推奨（2023年11月）。</t>
  </si>
  <si>
    <t>調理キットに保証期限があり、数年ごとのキット交換が当たり前になった。</t>
  </si>
  <si>
    <t>第5期
2025年〜2026年
「Lambdaの形が増える時代」</t>
  </si>
  <si>
    <t>長時間の処理、EC2上での実行、Webサーバー型アプリなど、用途が広がった。</t>
  </si>
  <si>
    <t>durable functions（実行は開始時のバージョンに固定）、Lambda Managed Instances（$LATEST.PUBLISHED）、Lambda Web Functions（リビジョン＋エンドポイント）。</t>
  </si>
  <si>
    <t>新しい種類のロボットにも、名札と同じしくみが広がっている。</t>
  </si>
  <si>
    <t>くわしい年表</t>
  </si>
  <si>
    <t>年月</t>
  </si>
  <si>
    <t>できごと</t>
  </si>
  <si>
    <t>背景・ねらい</t>
  </si>
  <si>
    <t>このテーマとの関係</t>
  </si>
  <si>
    <t>2014年11月</t>
  </si>
  <si>
    <t>AWS Lambda 発表（re:Invent 2014、プレビュー）</t>
  </si>
  <si>
    <t>サーバーの管理なしに、イベントをきっかけに処理を動かす</t>
  </si>
  <si>
    <t>当初はバージョンもエイリアスもなく、更新＝即本番反映</t>
  </si>
  <si>
    <t>2015年4月</t>
  </si>
  <si>
    <t>Lambda 一般提供（GA）</t>
  </si>
  <si>
    <t>本番利用が本格化</t>
  </si>
  <si>
    <t>「安全な更新」のニーズが高まる</t>
  </si>
  <si>
    <t>2015年10月8日</t>
  </si>
  <si>
    <t>バージョニングとエイリアスの提供開始（Python 2.7対応、スケジュール実行などと同時発表）</t>
  </si>
  <si>
    <t>開発／テスト／本番の切り分け、安全な切替、イベントソース設定の固定化</t>
  </si>
  <si>
    <t>★本方式の土台が誕生</t>
  </si>
  <si>
    <t>2016年4月</t>
  </si>
  <si>
    <t>CloudWatch Events（現 EventBridge）がバージョン・エイリアスに対応</t>
  </si>
  <si>
    <t>定期実行などの呼び出し元からもエイリアスを指定できるように</t>
  </si>
  <si>
    <t>呼び出し元をエイリアス経由に統一しやすくなる</t>
  </si>
  <si>
    <t>2017年11月28日</t>
  </si>
  <si>
    <t>加重エイリアス（トラフィックシフト）とCodeDeploy連携、SAMのAutoPublishAlias／DeploymentPreference</t>
  </si>
  <si>
    <t>一括切替のリスクを減らす段階デプロイ（カナリア／リニア）と自動ロールバック</t>
  </si>
  <si>
    <t>★ランタイム更新を「少しずつ」安全に行えるように</t>
  </si>
  <si>
    <t>2019年12月</t>
  </si>
  <si>
    <t>Provisioned Concurrency 提供開始</t>
  </si>
  <si>
    <t>コールドスタート対策。バージョン／エイリアスにのみ設定できる</t>
  </si>
  <si>
    <t>バージョン運用が性能面でも必須に</t>
  </si>
  <si>
    <t>2020年12月</t>
  </si>
  <si>
    <t>コンテナイメージ形式の関数に対応</t>
  </si>
  <si>
    <t>大きな依存関係や独自の実行環境</t>
  </si>
  <si>
    <t>コンテナ形式ではランタイムはイメージに内包（イメージ更新＝ランタイム更新）</t>
  </si>
  <si>
    <t>2022年4月</t>
  </si>
  <si>
    <t>関数URL 提供開始</t>
  </si>
  <si>
    <t>関数にHTTPSエンドポイントを直接付与。エイリアスを指定して作成できる</t>
  </si>
  <si>
    <t>関数URLもエイリアスに付ければ切替の恩恵を受けられる</t>
  </si>
  <si>
    <t>2022年11月</t>
  </si>
  <si>
    <t>SnapStart（Java）提供開始</t>
  </si>
  <si>
    <t>起動の高速化。発行済みバージョンでのみ動作</t>
  </si>
  <si>
    <t>発行時にスナップショットを作るため、発行に時間がかかる点に注意</t>
  </si>
  <si>
    <t>2023年1月</t>
  </si>
  <si>
    <t>ランタイム管理コントロール（Auto／Function update／Manual）とランタイムバージョンARN</t>
  </si>
  <si>
    <t>パッチ適用による稀な非互換に備え、適用タイミングの制御とロールバックを可能に</t>
  </si>
  <si>
    <t>「パッチ」はこの機能、「言語世代の更新」はエイリアス方式、と役割が分かれる</t>
  </si>
  <si>
    <t>2023年11月</t>
  </si>
  <si>
    <t>AWS公式ブログ「Managing AWS Lambda runtime upgrades」公開</t>
  </si>
  <si>
    <t>ランタイム更新の進め方を整理。$LATESTで変更→バージョン発行→加重エイリアスでの移行を推奨</t>
  </si>
  <si>
    <t>★本方式がAWS公式のベストプラクティスとして明文化</t>
  </si>
  <si>
    <t>2023年11月〜12月</t>
  </si>
  <si>
    <t>Amazon Linux 2023 ベースのランタイム登場（Node.js 20、Java 21、Python 3.12、provided.al2023 など）</t>
  </si>
  <si>
    <t>OSの世代交代</t>
  </si>
  <si>
    <t>OSも変わるため、ネイティブライブラリ等の互換確認が必要に</t>
  </si>
  <si>
    <t>2024年1月</t>
  </si>
  <si>
    <t>Amazon Linux 1 ベースのランタイム（java8、go1.x、provided）廃止</t>
  </si>
  <si>
    <t>OSのサポート終了</t>
  </si>
  <si>
    <t>「言語ではなくOSが理由の廃止」も起こる</t>
  </si>
  <si>
    <t>2024年11月</t>
  </si>
  <si>
    <t>SnapStart が Python 3.12以降・.NET 8以降に拡大</t>
  </si>
  <si>
    <t>Java以外でも起動高速化</t>
  </si>
  <si>
    <t>発行済みバージョン前提の機能がさらに増える</t>
  </si>
  <si>
    <t>2025年11月末〜12月</t>
  </si>
  <si>
    <t>Lambda Managed Instances、Lambda durable functions 発表（re:Invent 2025）</t>
  </si>
  <si>
    <t>EC2上での実行、最長1年待機できる多段ワークフロー</t>
  </si>
  <si>
    <t>durable functionsの実行は開始時のバージョンに固定。Managed Instancesには$LATEST.PUBLISHEDが追加</t>
  </si>
  <si>
    <t>2026年4月30日</t>
  </si>
  <si>
    <t>Node.js 20（nodejs20.x）廃止</t>
  </si>
  <si>
    <t>Node.js 20 のサポート終了</t>
  </si>
  <si>
    <t>Node.js 22／24 への移行が必要</t>
  </si>
  <si>
    <t>2026年6月30日</t>
  </si>
  <si>
    <t>Amazon Linux 2 のサポート終了（EOL）</t>
  </si>
  <si>
    <t>AL2ベースのランタイムは各廃止日まで重大・一部重要なセキュリティ修正を継続</t>
  </si>
  <si>
    <t>AL2 → AL2023 への移行が急務</t>
  </si>
  <si>
    <t>2026年7月31日</t>
  </si>
  <si>
    <t>provided.al2 廃止</t>
  </si>
  <si>
    <t>AL2のサポート終了に伴う</t>
  </si>
  <si>
    <t>Go・Rust等は provided.al2023 へ</t>
  </si>
  <si>
    <t>2026年10月12日</t>
  </si>
  <si>
    <t>Lambda Web Functions 一般提供。従来の関数は「Lambda Event Functions」と呼ばれるように。Lambda MicroVMs も発表</t>
  </si>
  <si>
    <t>HTTPサーバー型のアプリをそのまま動かす新しい形</t>
  </si>
  <si>
    <t>Web Functionsは「リビジョン＋エンドポイント（重み付け）」で同じ考え方を提供</t>
  </si>
  <si>
    <t>2026年10月31日（予定）</t>
  </si>
  <si>
    <t>Python 3.10（python3.10）廃止予定</t>
  </si>
  <si>
    <t>Python 3.10 のサポート終了</t>
  </si>
  <si>
    <t>★本資料の作成時点で残り約2週間。至急の対応対象</t>
  </si>
  <si>
    <t>2026年11月10日（予定）</t>
  </si>
  <si>
    <t>.NET 8（dotnet8）廃止予定</t>
  </si>
  <si>
    <t>.NET 8 のサポート終了</t>
  </si>
  <si>
    <t>dotnet10 への移行が必要</t>
  </si>
  <si>
    <t>2026年11月（予定）</t>
  </si>
  <si>
    <t>Node.js 26／Python 3.15 の一般提供予定（現在はパブリックプレビュー）</t>
  </si>
  <si>
    <t>新しいLTS版への対応</t>
  </si>
  <si>
    <t>将来の移行先候補（プレビュー中は本番利用不可）</t>
  </si>
  <si>
    <t>必要になった経緯（まとめ）</t>
  </si>
  <si>
    <t>① 「上書き」しかないと、更新はいつも一発勝負になる</t>
  </si>
  <si>
    <t>初期のLambdaには、関数の「いまの状態」が1つしかありませんでした。コードや設定を更新すると、その瞬間にすべての利用者へ反映されます。失敗したら、古いコードを探して再アップロードするしかありません。本番で使う人が増えるにつれて、この「一発勝負」は大きなリスクになりました。</t>
  </si>
  <si>
    <t>② 「変えられない完成品」と「付けかえられる入口」に分けた</t>
  </si>
  <si>
    <t>そこで2015年10月、完成した状態を固定して保存する「バージョン」と、どのバージョンを使うかを指す「エイリアス」が導入されました。呼び出し元（API Gateway、S3、SQSなど）はエイリアスを指したままにしておき、裏側でエイリアスの向き先だけを付けかえれば、呼び出し元の設定を変えずにリリースも切り戻しもできます。2017年には、2つのバージョンに割合で振り分ける加重エイリアスが加わり、「少しずつ出す」ことも可能になりました。</t>
  </si>
  <si>
    <t>③ ランタイム更新が「数年ごとに必ず来る作業」になった</t>
  </si>
  <si>
    <t>ランタイムは、言語（Python、Node.jsなど）やOS（Amazon Linux）のサポート期限に合わせて廃止されます。廃止の後はセキュリティ修正が届かなくなるため、利用者は新しいランタイムへ乗りかえる必要があります。しかも、言語の世代が変わると、標準ライブラリの削除や挙動の変更、同梱SDKの変化、OSの世代交代（glibcやOpenSSLの違い）などで、思わぬ不具合が出ることがあります。テストだけでは見つけきれない問題に備えるには、（1）本番と同じ環境で事前に試せる、（2）一部の利用者だけに出して様子を見られる、（3）問題が出たら即座に戻せる、の3つが必要です。バージョン＋エイリアスは、この3つを追加費用ほぼゼロ・呼び出し元の設定変更なしで実現できるため、ランタイム更新の標準的なやり方として定着しました。</t>
  </si>
  <si>
    <t>昔は、レシピを書きかえた瞬間に全員の給食が変わってしまいました。それはこわいので、「完成したレシピをカードにして保存する（バージョン）」と「どのカードを使うかの名札（エイリアス）」が生まれ、さらに「少しずつ新しい味にする（加重エイリアス）」ができるようになりました。調理キット（ランタイム）は数年ごとに保証が切れるので、この名札のしくみがキット交換で大活躍しているのです。</t>
  </si>
  <si>
    <t>2026年10月時点の最新トピック</t>
  </si>
  <si>
    <t>・ 2026年10月12日、Lambda Web Functions が一般提供開始。HTTPサーバー（Express、Next.js など）をそのまま動かせる新しい形です。これに合わせ、従来のLambda関数は「Lambda Event Functions」と呼ばれるようになりました（AWSドキュメントの表記も変更）。Web Functionsでは、変更できない「リビジョン」と、リビジョンに重みを付けて振り分ける「エンドポイント」（最大2リビジョン）で、バージョン＋エイリアスと同じ考え方を実現しています。開始時点のランタイムは Node.js 24（Arm64）のみ。</t>
  </si>
  <si>
    <t>・ Amazon Linux 2 は2026年6月30日にサポート終了。AL2ベースのLambdaランタイム（Java 8/11/17のAL2版、Python 3.10/3.11、provided.al2）は、各ランタイムの廃止日まで重大・一部重要なセキュリティ修正が続きます。言語版を上げられないJava向けに、AL2023版の java8.al2023／java11.al2023／java17.al2023 が追加されています。</t>
  </si>
  <si>
    <t>・ 廃止の事前通知は少なくとも180日前（メール・AWS Health Dashboard・Trusted Advisor）。廃止後も関数の呼び出しは無期限に可能ですが無保証です。作成ブロック・更新ブロックの日付は、多くのランタイムで2027年7月29日／2027年8月31日まで延長されています。</t>
  </si>
  <si>
    <t>・ 近い期限：Python 3.10（2026年10月31日 廃止予定）、.NET 8（2026年11月10日 廃止予定）。Node.js 26 と Python 3.15 は2026年11月に一般提供予定（現在はパブリックプレビューで、本番利用は不可）。</t>
  </si>
  <si>
    <t>・ Lambda管理のコード保管容量は 300GB（展開後）で、引き上げはできません。超える場合は「自己管理S3コード保管」を使います。各バージョンが容量を消費するため、旧バージョンの整理がより重要になっています。</t>
  </si>
  <si>
    <t>3. エイリアス機能の整理 ― $LATEST・バージョン・エイリアス</t>
  </si>
  <si>
    <t>エイリアス＝「発行済みバージョンを指す、名前つきで付けかえ可能な矢印（ポインタ）」です。</t>
  </si>
  <si>
    <t>3つの登場人物</t>
  </si>
  <si>
    <t>下書きレシピ（$LATEST）、ラミネートした番号つきカード（バージョン）、「きょうの給食」の名札（エイリアス）の3つです。</t>
  </si>
  <si>
    <t>項目</t>
  </si>
  <si>
    <t>$LATEST（バージョン未発行版）</t>
  </si>
  <si>
    <t>発行済みバージョン（1, 2, 3 …）</t>
  </si>
  <si>
    <t>エイリアス（例：prod、stg）</t>
  </si>
  <si>
    <t>正体</t>
  </si>
  <si>
    <t>編集できる「作業中」の関数本体</t>
  </si>
  <si>
    <t>ある時点の$LATESTを写した、変更できないスナップショット</t>
  </si>
  <si>
    <t>発行済みバージョンを指す、名前つきの付けかえ可能なポインタ</t>
  </si>
  <si>
    <t>えんぴつ書きの下書きレシピ</t>
  </si>
  <si>
    <t>「きょうの給食」の名札</t>
  </si>
  <si>
    <t>変更できるもの</t>
  </si>
  <si>
    <t>コード・設定のすべて</t>
  </si>
  <si>
    <t>大半は変更不可。トリガー、送信先、Provisioned Concurrency、非同期呼び出しの設定、DB接続・プロキシだけは設定できる</t>
  </si>
  <si>
    <t>向き先バージョン、加重（2つ目のバージョンと割合）、説明。何度でも変更できる</t>
  </si>
  <si>
    <t>ARN（住所）の形</t>
  </si>
  <si>
    <t>…:function:my-func（非修飾）
または …:function:my-func:$LATEST</t>
  </si>
  <si>
    <t>…:function:my-func:6</t>
  </si>
  <si>
    <t>…:function:my-func:prod</t>
  </si>
  <si>
    <t>名前・番号</t>
  </si>
  <si>
    <t>固定で「$LATEST」</t>
  </si>
  <si>
    <t>1からの連番。削除しても、関数を作り直しても番号は再利用されない</t>
  </si>
  <si>
    <t>自由に命名（英数字・ハイフン・アンダースコア。数字だけの名前は不可）</t>
  </si>
  <si>
    <t>ランタイム（言語の世代）</t>
  </si>
  <si>
    <t>変更できる</t>
  </si>
  <si>
    <t>発行時に固定（python3.10で発行した版は、ずっとpython3.10）</t>
  </si>
  <si>
    <t>向き先バージョンのランタイムで動く</t>
  </si>
  <si>
    <t>ランタイムのパッチ</t>
  </si>
  <si>
    <t>更新モードに従う（既定はAuto＝自動）</t>
  </si>
  <si>
    <t>Autoなら自動でパッチ適用。Function update／Manualでは更新されない</t>
  </si>
  <si>
    <t>向き先バージョンに従う</t>
  </si>
  <si>
    <t>加重ルーティング</t>
  </si>
  <si>
    <t>対象外</t>
  </si>
  <si>
    <t>振り分け先になれる</t>
  </si>
  <si>
    <t>2つの発行済みバージョンに割合で振り分け可能（$LATESTは不可）</t>
  </si>
  <si>
    <t>Provisioned Concurrency・SnapStart</t>
  </si>
  <si>
    <t>使えない</t>
  </si>
  <si>
    <t>使える</t>
  </si>
  <si>
    <t>使える（向き先バージョンに適用）</t>
  </si>
  <si>
    <t>呼び出し権限（リソースベースポリシー）</t>
  </si>
  <si>
    <t>非修飾ARNに対して付与</t>
  </si>
  <si>
    <t>バージョンごとに付与できる</t>
  </si>
  <si>
    <t>エイリアスごとに付与できる。向き先が変わっても付け直し不要</t>
  </si>
  <si>
    <t>削除</t>
  </si>
  <si>
    <t>関数ごと削除するときのみ</t>
  </si>
  <si>
    <t>個別に削除可。ただしエイリアスが指している版は削除できない</t>
  </si>
  <si>
    <t>個別に削除可（呼び出し元が使っていれば、呼び出しが失敗するようになる）</t>
  </si>
  <si>
    <t>本番の入口としての適性</t>
  </si>
  <si>
    <t>×（変更が即、本番に出る）</t>
  </si>
  <si>
    <t>△（切替のたびに呼び出し元の設定変更が必要）</t>
  </si>
  <si>
    <t>◎（呼び出し元はエイリアスARNを固定で使える）</t>
  </si>
  <si>
    <t>料金</t>
  </si>
  <si>
    <t>無料（コード保管容量を消費）</t>
  </si>
  <si>
    <t>無料（版ごとにコード保管容量を消費。SnapStartは版ごとにキャッシュ料金）</t>
  </si>
  <si>
    <t>無料</t>
  </si>
  <si>
    <t>補足</t>
  </si>
  <si>
    <t>エイリアスの向き先には$LATESTも指定できますが、変更が即反映されるため本番では推奨されません（不変性が失われ、加重ルーティングやProvisioned Concurrencyも使えません）。本方式では、エイリアスは必ず発行済みバージョンを指します。</t>
  </si>
  <si>
    <t>ARN（関数の住所）の見分け方</t>
  </si>
  <si>
    <t>種類</t>
  </si>
  <si>
    <t>例</t>
  </si>
  <si>
    <t>何が呼ばれるか</t>
  </si>
  <si>
    <t>非修飾ARN</t>
  </si>
  <si>
    <t>arn:aws:lambda:ap-northeast-1:123456789012:function:my-func</t>
  </si>
  <si>
    <t>$LATEST（Managed Instancesの関数では$LATEST.PUBLISHED）。本方式では使わない</t>
  </si>
  <si>
    <t>$LATEST修飾ARN</t>
  </si>
  <si>
    <t>arn:aws:lambda:ap-northeast-1:123456789012:function:my-func:$LATEST</t>
  </si>
  <si>
    <t>$LATEST（開発・確認用）</t>
  </si>
  <si>
    <t>バージョン修飾ARN</t>
  </si>
  <si>
    <t>arn:aws:lambda:ap-northeast-1:123456789012:function:my-func:6</t>
  </si>
  <si>
    <t>バージョン6（発行直後の直接テストに使う）</t>
  </si>
  <si>
    <t>エイリアス修飾ARN</t>
  </si>
  <si>
    <t>arn:aws:lambda:ap-northeast-1:123456789012:function:my-func:prod</t>
  </si>
  <si>
    <t>prodが指すバージョン。★本方式で呼び出し元が使うのはこれ</t>
  </si>
  <si>
    <t>新しいバージョンを「発行できる」条件</t>
  </si>
  <si>
    <t>$LATESTが直前の発行済みバージョンと同じ内容なら、新しいバージョンは作られません（発行しても既存の最新版のまま）。次の項目を変更すると、新しいバージョンを発行できる状態になります：関数コード／環境変数／ランタイム／ハンドラー／レイヤー／メモリ／タイムアウト／VPC設定／DLQ設定／IAM実行ロール／説明／アーキテクチャ（x86_64・arm64）／エフェメラルストレージ／パッケージタイプ／コード保管モード（Lambda管理⇔自己管理S3）／ログ設定／ファイルシステム設定／SnapStart／トレース設定。予約同時実行数のような運用設定を変えても、新しいバージョンにはなりません。</t>
  </si>
  <si>
    <t>ランタイムを変えれば、必ず「新しいカード」を作れます。逆に、何も変えていないのにラミネートしようとしても、同じカードが返ってくるだけです。</t>
  </si>
  <si>
    <t>発行後に「変えられない設定」と「変えられる設定」</t>
  </si>
  <si>
    <t>変えられない（新しいバージョンの発行が必要）</t>
  </si>
  <si>
    <t>発行済みバージョンに後から設定できる</t>
  </si>
  <si>
    <t>関数コード、ランタイム、ハンドラー、アーキテクチャ（x86_64／arm64）、メモリ、タイムアウト、エフェメラルストレージ、レイヤー、環境変数、IAM実行ロール、VPC設定、DLQ設定、ログ設定、トレース設定、ファイルシステム設定、SnapStart、パッケージタイプ、コード保管モード、説明</t>
  </si>
  <si>
    <t>トリガー、送信先（Destinations）、Provisioned Concurrency、非同期呼び出しの設定（再試行回数・イベントの最大経過時間）、データベース接続とプロキシ。※予約同時実行数は関数全体の設定で、変えても新しいバージョンにはならない</t>
  </si>
  <si>
    <t>加重エイリアス（トラフィックシフト）のルール</t>
  </si>
  <si>
    <t>ルール</t>
  </si>
  <si>
    <t>振り分け先の数</t>
  </si>
  <si>
    <t>最大2つのバージョン（メインのバージョン＋追加の1つ）</t>
  </si>
  <si>
    <t>名札は2枚のカードまで</t>
  </si>
  <si>
    <t>両方とも発行済みバージョン。$LATESTは不可</t>
  </si>
  <si>
    <t>下書きには名札をかけられない</t>
  </si>
  <si>
    <t>実行ロール</t>
  </si>
  <si>
    <t>2つのバージョンで同じIAM実行ロールであること</t>
  </si>
  <si>
    <t>同じ調理係の権限で作ること</t>
  </si>
  <si>
    <t>DLQ</t>
  </si>
  <si>
    <t>同じデッドレターキュー設定（または両方とも設定なし）</t>
  </si>
  <si>
    <t>失敗した注文の置き場所が同じこと</t>
  </si>
  <si>
    <t>ランタイム</t>
  </si>
  <si>
    <t>2つのバージョンでランタイムが違ってもよい（ランタイム更新のカナリアにそのまま使える）</t>
  </si>
  <si>
    <t>古いキットと新しいキットを並べて使える</t>
  </si>
  <si>
    <t>割合の正確さ</t>
  </si>
  <si>
    <t>確率で振り分けるため、リクエストが少ないと設定値からずれやすい</t>
  </si>
  <si>
    <t>10人だと、ちょうど1人になるとは限らない</t>
  </si>
  <si>
    <t>どちらが動いたかの確認</t>
  </si>
  <si>
    <t>CloudWatch Logsの「START RequestId: … Version: 6」の行、メトリクスのExecutedVersionディメンション、同期呼び出しの応答ヘッダー x-amz-executed-version</t>
  </si>
  <si>
    <t>どのカードで作ったかの記録が残る</t>
  </si>
  <si>
    <t>Provisioned Concurrency併用</t>
  </si>
  <si>
    <t>振り分け中は多めに確保すると、確保分からあふれる呼び出し（スピルオーバー）を防げる</t>
  </si>
  <si>
    <t>味見期間は調理ロボットを多めに待機させる</t>
  </si>
  <si>
    <t>全量切替のやり方</t>
  </si>
  <si>
    <t>--function-versionを新しいバージョンにし、routing-configを空にする</t>
  </si>
  <si>
    <t>名札を新しいカード1枚だけにかけ直す</t>
  </si>
  <si>
    <t>エイリアスを使える主な呼び出し元と設定方法</t>
  </si>
  <si>
    <t>呼び出し元</t>
  </si>
  <si>
    <t>設定のしかた</t>
  </si>
  <si>
    <t>注意点</t>
  </si>
  <si>
    <t>API Gateway（REST API／HTTP API）</t>
  </si>
  <si>
    <t>統合先に「my-func:prod」を指定（ステージ変数でエイリアス名を切りかえる方法もある）</t>
  </si>
  <si>
    <t>エイリアスごとに呼び出し権限が必要（add-permission --qualifier prod）</t>
  </si>
  <si>
    <t>S3イベント通知・SNS・EventBridge</t>
  </si>
  <si>
    <t>ターゲットにエイリアスARNを指定</t>
  </si>
  <si>
    <t>権限はエイリアス（--qualifier）に付与する</t>
  </si>
  <si>
    <t>SQS・Kinesis・DynamoDB Streams など（イベントソースマッピング）</t>
  </si>
  <si>
    <t>マッピングの関数にエイリアスARNを指定</t>
  </si>
  <si>
    <t>既存のマッピングが非修飾ARNなら、エイリアスARNのマッピングへ付け替えが必要（重複処理・取りこぼしに注意して切替）</t>
  </si>
  <si>
    <t>Step Functions</t>
  </si>
  <si>
    <t>タスクのリソースにエイリアスARNを指定</t>
  </si>
  <si>
    <t>ステートマシン定義に非修飾ARNが残っていないか確認</t>
  </si>
  <si>
    <t>関数URL</t>
  </si>
  <si>
    <t>エイリアスを修飾子にして関数URLを作成</t>
  </si>
  <si>
    <t>URLはエイリアスごとに別のものになる</t>
  </si>
  <si>
    <t>アプリ・他のLambdaからのSDK呼び出し</t>
  </si>
  <si>
    <t>FunctionNameに「my-func:prod」、または Qualifier=prod を指定</t>
  </si>
  <si>
    <t>コードの中の非修飾呼び出しは見落としやすい</t>
  </si>
  <si>
    <t>Lambda@Edge（CloudFront）</t>
  </si>
  <si>
    <t>番号付きバージョンのみ指定できる（$LATEST・エイリアスは不可）</t>
  </si>
  <si>
    <t>★本方式は使えない。CloudFrontの関連付けを新しいバージョンのARNへ更新して切りかえる</t>
  </si>
  <si>
    <t>durable functions</t>
  </si>
  <si>
    <t>バージョン番号・エイリアス・$LATESTのいずれかで修飾した呼び出しが必須</t>
  </si>
  <si>
    <t>実行は開始時のバージョンに固定。エイリアスを切りかえても、実行中の処理は旧バージョンのまま最後まで動く</t>
  </si>
  <si>
    <t>エイリアスにできないこと・関数全体で共有されるもの</t>
  </si>
  <si>
    <t>・ エイリアスが指せるのはバージョン（または$LATEST）だけ。別のエイリアスは指せない。</t>
  </si>
  <si>
    <t>・ 切替は関数ごと。複数の関数を「せーの」で一斉に切りかえる機能はない。関数どうしで互換性が必要な変更は、呼ばれる側から先に切りかえるなど、順序の設計が必要。</t>
  </si>
  <si>
    <t>・ 環境変数・メモリなどはバージョンに属する。エイリアスごとに別の設定を持たせることはできない（dev／stg／prodを1つの関数のエイリアスで分ける場合の制約。環境はAWSアカウントで分けるのが一般的な推奨）。</t>
  </si>
  <si>
    <t>・ 予約同時実行数、ロググループ（/aws/lambda/関数名）、リソースベースポリシーの容量（20KB）は、関数全体で共有される。</t>
  </si>
  <si>
    <t>・ 切替は「これから来るリクエスト」から適用される。実行中のリクエストは元のバージョンで最後まで動く。データベースの変更など「外側の変化」は、エイリアスを戻しても元に戻らない。</t>
  </si>
  <si>
    <t>・ エイリアスの変更履歴はLambda自体には残らない。CloudTrail（UpdateAlias の記録）で追跡する。</t>
  </si>
  <si>
    <t>4. ランタイムの基礎 ― 何が変わり、なぜ更新が必要か</t>
  </si>
  <si>
    <t>ランタイム＝プログラムを動かすための「土台（言語の実行環境＋OS＋ライブラリ）」。土台には寿命があります。</t>
  </si>
  <si>
    <t>ランタイムとは</t>
  </si>
  <si>
    <t>Lambdaの関数は、Python・Node.js・Java・.NET・Rubyなどの言語で書かれます。その言語のプログラムを動かすための実行環境と、その下で動くOS（Amazon Linux）、ライブラリをまとめたものが「ランタイム」です。ランタイムは「python3.13」「nodejs24.x」のようなランタイム識別子で指定します。言語やOSには開発元のサポート期限があり、期限が来るとLambdaのランタイムも「廃止」されます。</t>
  </si>
  <si>
    <t>ランタイムは、ロボットに入っている「調理キット」です。キットにはメーカー保証の期限があり、期限が切れると安全のための修理が来なくなります。</t>
  </si>
  <si>
    <t>2種類の「ランタイム更新」を区別しよう</t>
  </si>
  <si>
    <t>だれが行うか</t>
  </si>
  <si>
    <t>どう管理するか</t>
  </si>
  <si>
    <t>本方式との関係</t>
  </si>
  <si>
    <t>メジャー更新
（ランタイム識別子の変更）</t>
  </si>
  <si>
    <t>python3.10 → python3.13
nodejs20.x → nodejs24.x
java17（AL2）→ java21
dotnet8 → dotnet10</t>
  </si>
  <si>
    <t>利用者。AWSは自動では行わない（言語の世代間で後方互換が保証されないため）</t>
  </si>
  <si>
    <t>関数設定のRuntimeを変更（コンテナイメージは新しいベースイメージで作り直す）</t>
  </si>
  <si>
    <t>★本方式の主な対象。バージョン＋エイリアスで安全に切りかえる</t>
  </si>
  <si>
    <t>パッチ更新
（ランタイムバージョンの更新）</t>
  </si>
  <si>
    <t>python3.13 の中でのセキュリティ修正・マイナー更新（ランタイムバージョンARNが変わる）</t>
  </si>
  <si>
    <t>原則としてAWSが自動で適用（Autoモード、2段階ロールアウト）</t>
  </si>
  <si>
    <t>ランタイム管理コントロール（Auto／Function update／Manual）</t>
  </si>
  <si>
    <t>補助的。Autoなら発行済みバージョンにも自動適用。Function updateなら「関数を更新したとき」に取り込まれる</t>
  </si>
  <si>
    <t>ランタイム管理コントロール（2023年1月〜）</t>
  </si>
  <si>
    <t>モード</t>
  </si>
  <si>
    <t>動き</t>
  </si>
  <si>
    <t>向いている場面</t>
  </si>
  <si>
    <t>Auto（既定）</t>
  </si>
  <si>
    <t>最新の安全なランタイムバージョンへ自動更新。第1段階：関数の作成・更新時に適用。第2段階：まだ更新されていないAutoの関数に順次適用</t>
  </si>
  <si>
    <t>ほとんどの関数（AWS推奨）</t>
  </si>
  <si>
    <t>発行済みバージョンもAutoなら自動で更新される。Lambda@EdgeはAutoのみ対応</t>
  </si>
  <si>
    <t>Function update</t>
  </si>
  <si>
    <t>関数を更新（コード・設定の変更）したときだけ、最新のランタイムバージョンにする</t>
  </si>
  <si>
    <t>デプロイと同時に検証し、稀な非互換を早く見つけたい場合</t>
  </si>
  <si>
    <t>定期的に関数を更新しないとパッチが入らない</t>
  </si>
  <si>
    <t>Manual</t>
  </si>
  <si>
    <t>指定したランタイムバージョンARNに固定し続ける</t>
  </si>
  <si>
    <t>新しいランタイムバージョンで非互換が出たときの、一時的なロールバック</t>
  </si>
  <si>
    <t>恒久利用は非推奨（パッチが入らない）。早めにAutoへ戻す</t>
  </si>
  <si>
    <t>確認方法：ランタイムバージョンは、新しい実行環境が起動したときのログ「INIT_START Runtime Version: python:3.13.v○○  Runtime Version ARN: arn:aws:lambda:…」や、コンソールで確認できます。同じ番号でも、リージョンやアーキテクチャによってARNは異なります。</t>
  </si>
  <si>
    <t>廃止（サポート終了）の流れ ― 最新のポリシー</t>
  </si>
  <si>
    <t>段階</t>
  </si>
  <si>
    <t>時期</t>
  </si>
  <si>
    <t>何が起きるか</t>
  </si>
  <si>
    <t>事前通知</t>
  </si>
  <si>
    <t>廃止日の少なくとも180日前</t>
  </si>
  <si>
    <t>メール・AWS Health Dashboard・Trusted Advisorで通知。メールとHealth Dashboardに載るのは$LATESTが該当する関数。発行済みバージョンも含む一覧はTrusted Advisorで確認する</t>
  </si>
  <si>
    <t>「もうすぐ保証が切れます」というお知らせ</t>
  </si>
  <si>
    <t>廃止
（Deprecation）</t>
  </si>
  <si>
    <t>廃止日</t>
  </si>
  <si>
    <t>セキュリティパッチなどが提供されなくなる可能性。技術サポートの対象外。コンソールでは作成・更新できない（CLI・SAM・CloudFormationではまだ可能）</t>
  </si>
  <si>
    <t>保証切れ。こわれても修理に来てくれない</t>
  </si>
  <si>
    <t>作成ブロック</t>
  </si>
  <si>
    <t>廃止日の少なくとも30日後（多くのランタイムで延長）</t>
  </si>
  <si>
    <t>そのランタイムで新しい関数を作れない。既存関数のコード・設定の更新はCLI等でまだ可能</t>
  </si>
  <si>
    <t>古いキットで新しいロボットは作れない</t>
  </si>
  <si>
    <t>更新ブロック</t>
  </si>
  <si>
    <t>廃止日の少なくとも60日後（多くのランタイムで延長）</t>
  </si>
  <si>
    <t>既存関数のコード・設定を更新できない。サポート中のランタイムへの変更はできるが、廃止ランタイムへ戻すことはブロックされうる</t>
  </si>
  <si>
    <t>古いキットのロボットは直せない。新しいキットへの交換だけOK</t>
  </si>
  <si>
    <t>廃止後の呼び出し</t>
  </si>
  <si>
    <t>期限なし</t>
  </si>
  <si>
    <t>呼び出しは無期限に続けられる。ただし無保証で、証明書の期限切れなどで動かなくなるおそれがある</t>
  </si>
  <si>
    <t>動いてはいるが、いつ止まっても文句は言えない</t>
  </si>
  <si>
    <t>落とし穴</t>
  </si>
  <si>
    <t>$LATESTを新しいランタイムに変えると、AWSからの廃止通知メールにはその関数が載らなくなります（メールは$LATESTが対象のため）。しかし古いランタイムの発行済みバージョン（切り戻し用や別エイリアス用）は残っています。「通知が来なくなった＝完了」ではありません。Trusted Advisorで発行済みバージョンまで確認しましょう。</t>
  </si>
  <si>
    <t>ランタイム更新で起きやすい非互換（チェックの観点）</t>
  </si>
  <si>
    <t>観点</t>
  </si>
  <si>
    <t>起きうること</t>
  </si>
  <si>
    <t>確認・対策</t>
  </si>
  <si>
    <t>言語仕様・標準ライブラリ</t>
  </si>
  <si>
    <t>古い機能の削除や挙動の変更。例：Python 3.12で distutils 削除、Python 3.13で cgi・crypt・imghdr など古い標準モジュールを削除</t>
  </si>
  <si>
    <t>新ランタイムで単体テストを実行。DeprecationWarningなどの警告ログを事前に確認</t>
  </si>
  <si>
    <t>依存ライブラリ（ネイティブ拡張）</t>
  </si>
  <si>
    <t>C拡張などが古いランタイム向けにビルドされていると動かない</t>
  </si>
  <si>
    <t>新ランタイム・同じアーキテクチャ・同じOS世代でビルドし直す（sam build --use-container など）</t>
  </si>
  <si>
    <t>レイヤー</t>
  </si>
  <si>
    <t>古いランタイム向けのレイヤーが動かない。発行済みバージョンは特定のレイヤーバージョンに固定されている</t>
  </si>
  <si>
    <t>新ランタイム用のレイヤーバージョンを作り、$LATESTの設定で差し替えてから発行する</t>
  </si>
  <si>
    <t>ランタイム同梱のAWS SDK</t>
  </si>
  <si>
    <t>同梱SDKのバージョンが変わる（例：Node.js 18以降はSDK v3のみ同梱で、v2は含まれない）</t>
  </si>
  <si>
    <t>使うSDKはデプロイパッケージに含めて固定する（AWS推奨）</t>
  </si>
  <si>
    <t>OS（Amazon Linux 2 → 2023）</t>
  </si>
  <si>
    <t>glibc・OpenSSL（3系）・システムライブラリの違い。コンテナではyumではなくdnf（microdnf）</t>
  </si>
  <si>
    <t>独自バイナリ・暗号処理・証明書まわりを重点的に試験</t>
  </si>
  <si>
    <t>性能</t>
  </si>
  <si>
    <t>初期化時間（Init Duration）・実行時間・メモリ使用量の変化</t>
  </si>
  <si>
    <t>新旧バージョンをExecutedVersion別に比較。必要ならメモリ設定を見直す</t>
  </si>
  <si>
    <t>複数の変更を同時に行う</t>
  </si>
  <si>
    <t>x86_64→arm64、メモリ変更などを同時に行うと、問題の原因を切り分けにくい</t>
  </si>
  <si>
    <t>ランタイム更新は単独で行う（1回の発行に変更は1種類）</t>
  </si>
  <si>
    <t>移行先の選び方（2026年10月時点の目安）</t>
  </si>
  <si>
    <t>・ Python：python3.13 または python3.14（廃止予定 2029年6月30日）。python3.12は2028年10月31日。python3.15はプレビュー中（本番不可）。</t>
  </si>
  <si>
    <t>・ Node.js：nodejs24.x（廃止予定 2028年4月30日）。nodejs22.xは2027年4月30日。nodejs26.xはプレビュー中。</t>
  </si>
  <si>
    <t>・ Java：java21 または java25（2029年6月30日）。言語版を上げられない場合はAL2023版の java17.al2023／java11.al2023／java8.al2023（同じく2029年6月30日）。</t>
  </si>
  <si>
    <t>・ .NET：dotnet10（2028年11月14日）。dotnet8は2026年11月10日に廃止予定。</t>
  </si>
  <si>
    <t>・ Ruby：ruby3.4（2028年3月31日）または ruby4.0（2029年3月31日）。</t>
  </si>
  <si>
    <t>・ OS専用ランタイム（Go・Rustなど）：provided.al2023（2029年6月30日）。</t>
  </si>
  <si>
    <t>・ 原則：「一般提供（GA）済みで、廃止日がいちばん遠いランタイム」を選ぶ。プレビュー版は本番に使わない。</t>
  </si>
  <si>
    <t>5. ランタイム廃止予定表（残り日数・状態は自動計算）</t>
  </si>
  <si>
    <t>AWS公式ドキュメント（2026年10月17日確認）の日付です。基準日はファイルを開いた日になり、残り日数と状態が自動で計算されます。</t>
  </si>
  <si>
    <t>基準日（自動）</t>
  </si>
  <si>
    <t>ファイルを開いた日の日付になります。日付を固定したい場合は、点線枠のセルに日付を直接入力してください。</t>
  </si>
  <si>
    <t>区分</t>
  </si>
  <si>
    <t>名前</t>
  </si>
  <si>
    <t>識別子</t>
  </si>
  <si>
    <t>OS</t>
  </si>
  <si>
    <t>廃止まで（日）</t>
  </si>
  <si>
    <t>更新ブロックまで（日）</t>
  </si>
  <si>
    <t>状態</t>
  </si>
  <si>
    <t>サポート中</t>
  </si>
  <si>
    <t>Node.js 24</t>
  </si>
  <si>
    <t>nodejs24.x</t>
  </si>
  <si>
    <t>Amazon Linux 2023</t>
  </si>
  <si>
    <t>Node.js 22</t>
  </si>
  <si>
    <t>nodejs22.x</t>
  </si>
  <si>
    <t>Python 3.14</t>
  </si>
  <si>
    <t>python3.14</t>
  </si>
  <si>
    <t>Python 3.13</t>
  </si>
  <si>
    <t>python3.13</t>
  </si>
  <si>
    <t>Python 3.12</t>
  </si>
  <si>
    <t>python3.12</t>
  </si>
  <si>
    <t>Python 3.11</t>
  </si>
  <si>
    <t>python3.11</t>
  </si>
  <si>
    <t>Amazon Linux 2</t>
  </si>
  <si>
    <t>Python 3.10</t>
  </si>
  <si>
    <t>python3.10</t>
  </si>
  <si>
    <t>Java 25</t>
  </si>
  <si>
    <t>java25</t>
  </si>
  <si>
    <t>Java 21</t>
  </si>
  <si>
    <t>java21</t>
  </si>
  <si>
    <t>Java 17（AL2023）</t>
  </si>
  <si>
    <t>java17.al2023</t>
  </si>
  <si>
    <t>Java 11（AL2023）</t>
  </si>
  <si>
    <t>java11.al2023</t>
  </si>
  <si>
    <t>Java 8（AL2023）</t>
  </si>
  <si>
    <t>java8.al2023</t>
  </si>
  <si>
    <t>Java 17</t>
  </si>
  <si>
    <t>java17</t>
  </si>
  <si>
    <t>Java 11</t>
  </si>
  <si>
    <t>java11</t>
  </si>
  <si>
    <t>Java 8（AL2）</t>
  </si>
  <si>
    <t>java8.al2</t>
  </si>
  <si>
    <t>.NET 10</t>
  </si>
  <si>
    <t>dotnet10</t>
  </si>
  <si>
    <t>.NET 8</t>
  </si>
  <si>
    <t>dotnet8</t>
  </si>
  <si>
    <t>Ruby 4.0</t>
  </si>
  <si>
    <t>ruby4.0</t>
  </si>
  <si>
    <t>Ruby 3.4</t>
  </si>
  <si>
    <t>ruby3.4</t>
  </si>
  <si>
    <t>Ruby 3.3</t>
  </si>
  <si>
    <t>ruby3.3</t>
  </si>
  <si>
    <t>OS専用ランタイム</t>
  </si>
  <si>
    <t>provided.al2023</t>
  </si>
  <si>
    <t>プレビュー</t>
  </si>
  <si>
    <t>Node.js 26</t>
  </si>
  <si>
    <t>nodejs26.x</t>
  </si>
  <si>
    <t>未定</t>
  </si>
  <si>
    <t>Python 3.15</t>
  </si>
  <si>
    <t>python3.15</t>
  </si>
  <si>
    <t>廃止済み</t>
  </si>
  <si>
    <t>provided.al2</t>
  </si>
  <si>
    <t>Node.js 20</t>
  </si>
  <si>
    <t>nodejs20.x</t>
  </si>
  <si>
    <t>Ruby 3.2</t>
  </si>
  <si>
    <t>ruby3.2</t>
  </si>
  <si>
    <t>Python 3.9</t>
  </si>
  <si>
    <t>python3.9</t>
  </si>
  <si>
    <t>Node.js 18</t>
  </si>
  <si>
    <t>nodejs18.x</t>
  </si>
  <si>
    <t>.NET 6</t>
  </si>
  <si>
    <t>dotnet6</t>
  </si>
  <si>
    <t>Python 3.8</t>
  </si>
  <si>
    <t>python3.8</t>
  </si>
  <si>
    <t>Node.js 16</t>
  </si>
  <si>
    <t>nodejs16.x</t>
  </si>
  <si>
    <t>読み方</t>
  </si>
  <si>
    <t>「状態」は廃止日と基準日から自動判定：廃止済み／至急（180日以内）／計画（1年以内）／余裕あり／予定なし（プレビュー）。廃止済みでも呼び出しは続けられますが、無保証です。更新ブロック日を過ぎるとコード・設定を更新できなくなります（サポート中ランタイムへの変更は可能）。</t>
  </si>
  <si>
    <t>Amazon Linux 2 は2026年6月30日にEOL。AL2ベースのランタイム（Java 8/11/17のAL2版、Python 3.10/3.11、provided.al2）は、各廃止日まで重大・一部重要なセキュリティ修正を継続。日付はAWSの計画値で、変更されることがあります。作業前に必ず公式ページ（11_参考情報 No.1）で最新の日付を確認してください。コンテナ専用の dotnet9 や、2024年以前に廃止された古いランタイムは省略しています。</t>
  </si>
  <si>
    <t>6. 本方式の手順 ― $LATEST変更 → 発行 → エイリアス切替</t>
  </si>
  <si>
    <t>関数 my-func、エイリアス prod、現行バージョン5（python3.10）→ 新バージョン6（python3.13）を例に説明します。</t>
  </si>
  <si>
    <t>方式の定義</t>
  </si>
  <si>
    <t>本方式は、次の4段階でランタイムを更新します。①バージョン未発行版（$LATEST）のランタイム設定（必要ならコード・レイヤーも）を新しいものに変更する。②動作確認の後、$LATESTを新しいバージョンとして発行（publish-version）して固定する。③エイリアス（例：prod）の向き先を、旧バージョンから新バージョンへ変更する（必要に応じて加重エイリアスで段階的に）。④問題があれば、エイリアスの向き先を旧バージョンへ戻す。呼び出し元はずっと同じエイリアスARNを使い続けるため、呼び出し元の設定は一切変更しません。</t>
  </si>
  <si>
    <t>下書きを直す → カードにする → 名札を付けかえる → だめなら名札を戻す。この4つだけです。</t>
  </si>
  <si>
    <t>状態の移り変わり（リクエストの流れ）</t>
  </si>
  <si>
    <t>ステップ</t>
  </si>
  <si>
    <t>$LATEST（下書き）</t>
  </si>
  <si>
    <t>バージョン5
（python3.10）</t>
  </si>
  <si>
    <t>バージョン6
（python3.13）</t>
  </si>
  <si>
    <t>エイリアス prod の向き先</t>
  </si>
  <si>
    <t>利用者への影響</t>
  </si>
  <si>
    <t>① 開始前</t>
  </si>
  <si>
    <t>python3.10（v5と同じ内容）</t>
  </si>
  <si>
    <t>■ 100%</t>
  </si>
  <si>
    <t>（まだない）</t>
  </si>
  <si>
    <t>5</t>
  </si>
  <si>
    <t>なし</t>
  </si>
  <si>
    <t>② $LATESTを変更</t>
  </si>
  <si>
    <t>python3.13 に変更</t>
  </si>
  <si>
    <t>なし（※$LATESTを直接呼ぶ利用者がいれば、ここで影響が出る）</t>
  </si>
  <si>
    <t>③ 新バージョンを発行</t>
  </si>
  <si>
    <t>作成済み・0%
（直接テスト可）</t>
  </si>
  <si>
    <t>④ カナリア（10%）</t>
  </si>
  <si>
    <t>■ 90%</t>
  </si>
  <si>
    <t>■ 10%</t>
  </si>
  <si>
    <t>5（＋6へ10%）</t>
  </si>
  <si>
    <t>約1割のリクエストが新ランタイムで動く</t>
  </si>
  <si>
    <t>⑤ 全量切替</t>
  </si>
  <si>
    <t>0%
（切り戻し用に保管）</t>
  </si>
  <si>
    <t>6</t>
  </si>
  <si>
    <t>全員が新ランタイム</t>
  </si>
  <si>
    <t>⑥ 切り戻し（問題時のみ）</t>
  </si>
  <si>
    <t>0%</t>
  </si>
  <si>
    <t>元どおり（旧ランタイムで一時避難）</t>
  </si>
  <si>
    <t>図の見方</t>
  </si>
  <si>
    <t>黒いマス（■）は、そのバージョンにリクエストが流れていることを表します。①〜③の間、本番（prod経由）のリクエストは一度も新ランタイムに触れません。</t>
  </si>
  <si>
    <t>詳細手順（AWS CLI の例）</t>
  </si>
  <si>
    <t>コマンドはbash（Linux・macOS・Git Bash）での書き方です。PowerShellでは、JSONの引用符や $LATEST の書き方（'$LATEST' を使う）が異なるので注意してください。作業はまず検証用のAWSアカウントで通しで行い、本番では同じ手順をIaCやパイプラインで実行するのが理想です。</t>
  </si>
  <si>
    <t>No</t>
  </si>
  <si>
    <t>作業</t>
  </si>
  <si>
    <t>コマンド例</t>
  </si>
  <si>
    <t>確認ポイント</t>
  </si>
  <si>
    <t>0</t>
  </si>
  <si>
    <t>対象関数の洗い出し（発行済みバージョンも含める）</t>
  </si>
  <si>
    <t>aws lambda list-functions --function-version ALL --query "Functions[?Runtime=='python3.10'].[FunctionName,Version]" --output table</t>
  </si>
  <si>
    <t>全リージョン・全アカウントで実行。Trusted Advisorの「廃止ランタイムを使用するLambda関数」チェックも併用（メール通知は$LATESTしか載らない）</t>
  </si>
  <si>
    <t>1</t>
  </si>
  <si>
    <t>呼び出し元の棚卸し（すべてエイリアス経由か）</t>
  </si>
  <si>
    <t>aws lambda get-policy --function-name my-func --qualifier prod
aws lambda list-event-source-mappings --function-name my-func</t>
  </si>
  <si>
    <t>API Gateway統合・EventBridge・S3通知・SNS・SQS等のマッピング・Step Functions・アプリのSDK呼び出しが「my-func:prod」を使っていること。CloudWatch Logsに「Version: $LATEST」のSTART行がないこと</t>
  </si>
  <si>
    <t>2</t>
  </si>
  <si>
    <t>現在の状態を記録（＝切り戻し先）</t>
  </si>
  <si>
    <t>aws lambda get-alias --function-name my-func --name prod</t>
  </si>
  <si>
    <t>FunctionVersion（例：5）とRevisionIdを控える。これが切り戻し先</t>
  </si>
  <si>
    <t>3</t>
  </si>
  <si>
    <t>開発</t>
  </si>
  <si>
    <t>新ランタイム向けにコード・依存関係・レイヤーを準備</t>
  </si>
  <si>
    <t>aws lambda publish-layer-version --layer-name my-deps --compatible-runtimes python3.13 --zip-file fileb://layer.zip
aws lambda update-function-code --function-name my-func --zip-file fileb://function.zip</t>
  </si>
  <si>
    <t>C拡張などは新ランタイム・同じアーキテクチャでビルドし直す。AWS SDKはパッケージに同梱して固定</t>
  </si>
  <si>
    <t>4</t>
  </si>
  <si>
    <t>更新の完了を待つ</t>
  </si>
  <si>
    <t>aws lambda wait function-updated-v2 --function-name my-func</t>
  </si>
  <si>
    <t>LastUpdateStatusがSuccessfulになってから次へ（更新中に次の更新を送ると失敗する）</t>
  </si>
  <si>
    <t>変更</t>
  </si>
  <si>
    <t>$LATESTのランタイムを変更</t>
  </si>
  <si>
    <t>aws lambda update-function-configuration --function-name my-func --runtime python3.13 --layers arn:aws:lambda:ap-northeast-1:123456789012:layer:my-deps:8</t>
  </si>
  <si>
    <t>この時点で本番（prod）は影響なし。※$LATESTを直接呼ぶ利用者がいれば、ここで影響が出る</t>
  </si>
  <si>
    <t>同上</t>
  </si>
  <si>
    <t>7</t>
  </si>
  <si>
    <t>検証</t>
  </si>
  <si>
    <t>$LATESTで動作確認</t>
  </si>
  <si>
    <t>aws lambda invoke --function-name my-func --qualifier '$LATEST' --payload fileb://event.json out.json
aws lambda get-function-configuration --function-name my-func --query CodeSha256</t>
  </si>
  <si>
    <t>ログのINIT_STARTで新ランタイム（python:3.13）であること。エラー・警告がないこと。CodeSha256を控える</t>
  </si>
  <si>
    <t>8</t>
  </si>
  <si>
    <t>発行</t>
  </si>
  <si>
    <t>新しいバージョンを発行</t>
  </si>
  <si>
    <t>aws lambda publish-version --function-name my-func --description "python3.13へ移行" --code-sha256 &lt;手順7で控えたCodeSha256&gt;</t>
  </si>
  <si>
    <t>応答のVersion（例：6）とRuntime（python3.13）を確認。--code-sha256で、意図しないコードを発行しない</t>
  </si>
  <si>
    <t>9</t>
  </si>
  <si>
    <t>発行の完了を待つ（SnapStart利用時は特に）</t>
  </si>
  <si>
    <t>aws lambda wait published-version-active --function-name my-func --qualifier 6</t>
  </si>
  <si>
    <t>SnapStartはスナップショット作成のため、発行完了まで時間がかかる</t>
  </si>
  <si>
    <t>10</t>
  </si>
  <si>
    <t>新バージョンを直接テスト（本番トラフィックなし）</t>
  </si>
  <si>
    <t>aws lambda invoke --function-name my-func --qualifier 6 --payload fileb://event.json out.json</t>
  </si>
  <si>
    <t>本番と同じ設定・ロール・ネットワークで確認できる。Provisioned Concurrency利用時はバージョン6側の準備完了も確認</t>
  </si>
  <si>
    <t>11</t>
  </si>
  <si>
    <t>段階リリース（推奨）</t>
  </si>
  <si>
    <t>10%だけ新バージョンへ流す</t>
  </si>
  <si>
    <t>aws lambda update-alias --function-name my-func --name prod --routing-config '{"AdditionalVersionWeights":{"6":0.1}}'</t>
  </si>
  <si>
    <t>向き先は5のまま、6に10%。2つの版で同じ実行ロール・同じDLQ設定であることが条件</t>
  </si>
  <si>
    <t>12</t>
  </si>
  <si>
    <t>監視</t>
  </si>
  <si>
    <t>新旧を比べる</t>
  </si>
  <si>
    <t>CloudWatchメトリクス（Errors・Duration・Throttles）をExecutedVersion別に比較。Logs InsightsでSTART行のVersionを集計</t>
  </si>
  <si>
    <t>事前に決めた判定基準（例：エラー率が旧版＋0.1ポイント以内、p99レイテンシの悪化20%以内）で判断。必要に応じて25%→50%と段階的に増やす</t>
  </si>
  <si>
    <t>13</t>
  </si>
  <si>
    <t>リリース</t>
  </si>
  <si>
    <t>全量切替</t>
  </si>
  <si>
    <t>aws lambda update-alias --function-name my-func --name prod --function-version 6 --routing-config '{"AdditionalVersionWeights":{}}' --revision-id &lt;最新のRevisionId&gt;</t>
  </si>
  <si>
    <t>--revision-idで、他の人の同時変更を上書きしない（楽観ロック）</t>
  </si>
  <si>
    <t>14</t>
  </si>
  <si>
    <t>切り戻し（必要時）</t>
  </si>
  <si>
    <t>旧バージョンへ戻す</t>
  </si>
  <si>
    <t>aws lambda update-alias --function-name my-func --name prod --function-version 5 --routing-config '{"AdditionalVersionWeights":{}}'</t>
  </si>
  <si>
    <t>新しいリクエストから数秒で旧版へ。旧版は旧ランタイムなので「一時避難」。原因を直してバージョン7を発行し直す</t>
  </si>
  <si>
    <t>15</t>
  </si>
  <si>
    <t>事後</t>
  </si>
  <si>
    <t>関連する関数・ほかのエイリアスにも展開</t>
  </si>
  <si>
    <t>（関数ごとに手順3〜13を繰り返す）</t>
  </si>
  <si>
    <t>関数間の依存関係（呼ぶ側・呼ばれる側）を考えて順序を決める。APIの上限（コントロールプレーンは全API合計で毎秒15リクエスト）に注意してスクリプトに待機・再試行を入れる</t>
  </si>
  <si>
    <t>16</t>
  </si>
  <si>
    <t>IaCへ反映</t>
  </si>
  <si>
    <t>SAM：Runtimeを変えて sam deploy（AutoPublishAlias）
CDK：runtimeを変えて cdk deploy（Alias＋currentVersion）
Terraform：runtime変更＋publish = true、aws_lambda_aliasのfunction_version</t>
  </si>
  <si>
    <t>手作業の変更はテンプレートとの食い違い（ドリフト）の原因。本番は最初からIaCで実施するのが理想</t>
  </si>
  <si>
    <t>17</t>
  </si>
  <si>
    <t>旧バージョンの整理</t>
  </si>
  <si>
    <t>aws lambda delete-function --function-name my-func --qualifier 5</t>
  </si>
  <si>
    <t>保持期間（例：次回リリースまで、または30日）の後に削除。エイリアスが指している版は削除できない。durable実行中の版、ほかのエイリアスが使う版は残す</t>
  </si>
  <si>
    <t>IaCで行う場合（AWS SAM＋CodeDeploy の例）</t>
  </si>
  <si>
    <t>Resources:
  MyFunc:
    Type: AWS::Serverless::Function
    Properties:
      Handler: app.handler
      Runtime: python3.13              # ← python3.10 から ここを変えるだけ
      AutoPublishAlias: prod           # 変更を検知して新バージョンを発行し、エイリアスを更新
      DeploymentPreference:
        Type: Canary10Percent5Minutes  # まず10%、5分後に問題なければ残り90%
        Alarms:
          - !Ref MyFuncErrorAlarm      # アラームが鳴ったら自動で切り戻し
        Hooks:
          PreTraffic: !Ref PreTrafficCheckFunc    # 切替前の自動テスト
          PostTraffic: !Ref PostTrafficCheckFunc  # 切替後の自動テスト</t>
  </si>
  <si>
    <t>Canary
（Canary10Percent5Minutes／10Minutes／15Minutes／30Minutes）</t>
  </si>
  <si>
    <t>まず10%を新バージョンへ。指定時間の後、問題がなければ残り90%を一度に切替</t>
  </si>
  <si>
    <t>ランタイム更新の標準。短時間で判断できる</t>
  </si>
  <si>
    <t>Linear
（Linear10PercentEvery1Minute／2Minutes／3Minutes／10Minutes）</t>
  </si>
  <si>
    <t>一定間隔ごとに10%ずつ増やす</t>
  </si>
  <si>
    <t>トラフィックが多く、徐々に負荷を確かめたい場合</t>
  </si>
  <si>
    <t>AllAtOnce</t>
  </si>
  <si>
    <t>一度に100%切替</t>
  </si>
  <si>
    <t>検証環境や、影響の小さい関数</t>
  </si>
  <si>
    <t>CodeDeployは、アラームの発報やフック（事前・事後テスト）の失敗時に、エイリアスを自動で旧バージョンへ戻します。中身は本方式（バージョン発行＋エイリアスの加重切替）を自動化したものです。</t>
  </si>
  <si>
    <t>CDK・Terraform・CloudFormation の場合</t>
  </si>
  <si>
    <t>・ AWS CDK：lambda.Function の runtime を変更し、new lambda.Alias(this, 'Prod', { aliasName: 'prod', version: fn.currentVersion }) で新バージョンにエイリアスを向ける。段階切替は codedeploy.LambdaDeploymentGroup を組み合わせる。</t>
  </si>
  <si>
    <t>・ Terraform：aws_lambda_function の runtime を変更し publish = true。aws_lambda_alias の function_version に aws_lambda_function.this.version を指定（routing_config で加重も可能）。</t>
  </si>
  <si>
    <t>・ CloudFormation（SAMなし）：AWS::Lambda::Version は関数を変えても自動では新しくならない。論理IDを変える、置き換えが起きるプロパティを変えるなどで新しいバージョンを作る工夫が必要（SAMの AutoPublishAlias はこれを自動化している）。</t>
  </si>
  <si>
    <t>7. 本方式の評価 ― メリット・リスク・他方式との比較</t>
  </si>
  <si>
    <t>「$LATESTを新しいバージョンとして発行し、エイリアスの向き先を変えてリリースする方式」を、多角的に評価します。</t>
  </si>
  <si>
    <t>総合評価</t>
  </si>
  <si>
    <t>◎ 条件付きで強く推奨。AWS公式ドキュメントも、ランタイム更新について「安全なデプロイとロールバックのために、関数のバージョンとエイリアスを使うことを推奨」と明記しています。</t>
  </si>
  <si>
    <t>前提条件</t>
  </si>
  <si>
    <t>①すべての呼び出し元がエイリアス修飾ARNで呼んでいる　②発行済みバージョンを使う運用（またはIaC）が整っている　③切り戻しを「一時避難」と位置づけ、廃止日より前に移行を終える計画がある</t>
  </si>
  <si>
    <t>推奨する形</t>
  </si>
  <si>
    <t>本方式＋加重エイリアス（手動カナリア）。さらに可能ならSAM／CDK＋CodeDeployで自動化（中身は同じしくみ）。</t>
  </si>
  <si>
    <t>向かない場面</t>
  </si>
  <si>
    <t>Lambda@Edge（エイリアス不可）、$LATEST直呼びが残る構成、複数の関数を同時に切りかえないと整合が取れない構成（順序設計や別の仕組みが必要）、Lambda Web Functions（リビジョン＋エンドポイントという別のしくみ）。</t>
  </si>
  <si>
    <t>名札を付けかえる方法は、とても安全でおすすめ。ただし、みんなが名札を見て注文していることが条件。それに、古いカードに戻すのはあくまで一時避難。</t>
  </si>
  <si>
    <t>観点別の評価</t>
  </si>
  <si>
    <t>評価</t>
  </si>
  <si>
    <t>理由</t>
  </si>
  <si>
    <t>安全性（影響範囲の制御）</t>
  </si>
  <si>
    <t>◎</t>
  </si>
  <si>
    <t>$LATESTの変更・発行の段階では本番に影響がない。加重エイリアスで影響を1割などに限定できる</t>
  </si>
  <si>
    <t>下書きを書きかえても、給食は変わらない</t>
  </si>
  <si>
    <t>切り戻しの速さ</t>
  </si>
  <si>
    <t>エイリアスを旧バージョンに向け直すだけ（APIを1回呼ぶだけで数秒）。再ビルド・再デプロイ不要。旧版は不変なので「戻したら別物だった」が起きない</t>
  </si>
  <si>
    <t>名札を戻すだけ</t>
  </si>
  <si>
    <t>事前検証のしやすさ</t>
  </si>
  <si>
    <t>発行したバージョンを修飾ARNで直接呼べる。本番と同じ設定・権限・ネットワークで試験できる</t>
  </si>
  <si>
    <t>本番の台所で、こっそり味見できる</t>
  </si>
  <si>
    <t>呼び出し元への影響</t>
  </si>
  <si>
    <t>呼び出し元はエイリアスARN固定のため設定変更が不要。権限もエイリアス単位なら付け直し不要</t>
  </si>
  <si>
    <t>注文のしかたは何も変わらない</t>
  </si>
  <si>
    <t>追跡性・監査</t>
  </si>
  <si>
    <t>○</t>
  </si>
  <si>
    <t>バージョンは不変で「何が動いていたか」が明確。ログ・メトリクスにバージョンが記録される。ただしエイリアスの変更履歴はCloudTrailで別途確認が必要</t>
  </si>
  <si>
    <t>どのカードで作ったか記録が残る</t>
  </si>
  <si>
    <t>運用の手間</t>
  </si>
  <si>
    <t>手作業だと手順が多く、ミスの余地がある。IaC／CodeDeployで自動化すれば小さい</t>
  </si>
  <si>
    <t>配膳係（自動化）を雇えば楽になる</t>
  </si>
  <si>
    <t>コスト</t>
  </si>
  <si>
    <t>バージョン・エイリアス自体は無料。コード保管容量（Lambda管理で300GB、引き上げ不可）と、SnapStartの版ごとのキャッシュ料金には注意</t>
  </si>
  <si>
    <t>名札とカードはタダ。ただし棚の広さには限りがある</t>
  </si>
  <si>
    <t>前提条件への依存</t>
  </si>
  <si>
    <t>△</t>
  </si>
  <si>
    <t>$LATEST直呼びや非修飾ARNの呼び出しが1つでもあると、その部分は安全性が崩れる</t>
  </si>
  <si>
    <t>名札を見ないで注文する人がいると台無し</t>
  </si>
  <si>
    <t>切り戻し先の健全性</t>
  </si>
  <si>
    <t>旧バージョンは旧ランタイムのまま。廃止後はパッチが届かないため、長期の退避先にはならない</t>
  </si>
  <si>
    <t>古いカードは保証切れのキット用</t>
  </si>
  <si>
    <t>複数関数の一斉切替</t>
  </si>
  <si>
    <t>エイリアスは関数単位。関数間で互換性が必要な変更は、切替順序や後方互換の設計が必要</t>
  </si>
  <si>
    <t>名札は1台のロボットにつき1つずつ</t>
  </si>
  <si>
    <t>適用範囲</t>
  </si>
  <si>
    <t>zip・コンテナの両形式、Managed Instancesでも利用可。Lambda@Edgeは不可。Web Functionsは別の仕組み（リビジョン＋エンドポイント）</t>
  </si>
  <si>
    <t>ほとんどのロボットで使えるが、例外もある</t>
  </si>
  <si>
    <t>メリット（くわしく）</t>
  </si>
  <si>
    <t>① 本番への影響ゼロで準備できる：$LATESTの変更・新しいバージョンの発行・直接テストまで、本番（エイリアス経由のリクエスト）には一切影響しない。</t>
  </si>
  <si>
    <t>② 本番そのものの環境で事前検証できる：発行したバージョンは、本番と同じロール・VPC・環境変数・レイヤーのまま、修飾ARNで直接呼び出せる。「検証環境では動いたのに本番では…」を減らせる。</t>
  </si>
  <si>
    <t>③ 切り戻しが速く確実：UpdateAliasを1回呼ぶだけ。再ビルド・再デプロイが不要で、旧バージョンは不変なので、戻した先が「前と同じもの」だと保証される。</t>
  </si>
  <si>
    <t>④ 呼び出し元の設定を変えなくてよい：API Gateway、S3、SQSなどはエイリアスARNを指したまま。権限（リソースベースポリシー）もエイリアス単位なら付け直し不要。</t>
  </si>
  <si>
    <t>⑤ 段階的に出せる：加重エイリアスで1%〜数十%だけ新ランタイムに流し、エラー率や遅延を新旧で比べられる。</t>
  </si>
  <si>
    <t>⑥ 何が本番で動いているかが明確：エイリアス → バージョン番号 → （不変の）コード・ランタイム・設定、と一意にたどれる。監査や障害調査がしやすい。</t>
  </si>
  <si>
    <t>⑦ 追加費用がほぼない：バージョン・エイリアス自体は無料。</t>
  </si>
  <si>
    <t>⑧ 自動化しやすく、AWSの他機能と相性がよい：SAM／CDK／Terraform／CodeDeployが標準で対応。Provisioned ConcurrencyやSnapStartは、もともと発行済みバージョンが前提。</t>
  </si>
  <si>
    <t>⑨ 繰り返し使える：ランタイムは数年ごとに必ず廃止を迎えるため、一度手順を整えれば、毎回同じやり方で対応できる。</t>
  </si>
  <si>
    <t>デメリット・リスクと対策</t>
  </si>
  <si>
    <t>リスク</t>
  </si>
  <si>
    <t>対策</t>
  </si>
  <si>
    <t>$LATEST直呼びの残存</t>
  </si>
  <si>
    <t>$LATESTのランタイムを変えた瞬間、その呼び出し元だけ新ランタイムで動く（検証前の本番適用になる）</t>
  </si>
  <si>
    <t>事前の棚卸し。STARTログの「Version: $LATEST」を監視。呼び出し元の設定をエイリアスARNに統一してから着手</t>
  </si>
  <si>
    <t>発行時の取り違え</t>
  </si>
  <si>
    <t>$LATESTに別の人の未検証コードが入っていて、一緒に発行されてしまう</t>
  </si>
  <si>
    <t>--code-sha256／--revision-id を指定して発行。デプロイ経路をパイプラインに一本化</t>
  </si>
  <si>
    <t>加重ルーティングの偏り</t>
  </si>
  <si>
    <t>リクエストが少ないと、10%設定でも0%や30%になることがある</t>
  </si>
  <si>
    <t>一定件数（例：数百リクエスト）以上たまってから判定。必要なら合成トラフィックで補う</t>
  </si>
  <si>
    <t>段階中の新旧混在</t>
  </si>
  <si>
    <t>新旧が同時に動く。出力形式・キャッシュ・DBに互換性がないと不整合が起きる</t>
  </si>
  <si>
    <t>新旧どちらでも読める形式にする（後方互換）。切替前にデータの互換性を確認</t>
  </si>
  <si>
    <t>旧ランタイムへの切り戻し</t>
  </si>
  <si>
    <t>廃止済みランタイムで動き続け、脆弱性や証明書期限切れのリスクを抱える</t>
  </si>
  <si>
    <t>切り戻しは一時避難と決めておく。廃止日より前に移行を完了。原因を直した版を新バージョンとして再発行</t>
  </si>
  <si>
    <t>バージョンの蓄積</t>
  </si>
  <si>
    <t>コード保管容量の逼迫、SnapStartのキャッシュ費用の増加</t>
  </si>
  <si>
    <t>保持ルール（例：直近3版＋エイリアス参照中の版）で自動削除。自己管理S3コード保管も検討</t>
  </si>
  <si>
    <t>Provisioned Concurrencyの準備</t>
  </si>
  <si>
    <t>切替直後、新バージョン側の準備が整っていないと、コールドスタートやスピルオーバーが起きる</t>
  </si>
  <si>
    <t>新バージョンに先にPCを割り当て、準備完了を確認してから切替。CodeDeployの利用</t>
  </si>
  <si>
    <t>SnapStartの発行時間</t>
  </si>
  <si>
    <t>発行時のスナップショット作成に時間がかかり、直後はまだ使えない（Pending）</t>
  </si>
  <si>
    <t>aws lambda wait published-version-active で完了を待つ</t>
  </si>
  <si>
    <t>IaCとのドリフト</t>
  </si>
  <si>
    <t>手作業の変更がテンプレートと食い違い、次回のデプロイで上書きされる</t>
  </si>
  <si>
    <t>IaCで実施する。手作業は緊急時のみとし、後で必ずテンプレートに反映</t>
  </si>
  <si>
    <t>durable functionsの実行固定</t>
  </si>
  <si>
    <t>実行中の処理は開始時のバージョンで最後まで動く（最長1年）。旧版を消すと影響が出る</t>
  </si>
  <si>
    <t>実行中のdurable実行がないことを確認してから旧版を削除</t>
  </si>
  <si>
    <t>Lambda@Edge</t>
  </si>
  <si>
    <t>エイリアスが使えないため、本方式が適用できない</t>
  </si>
  <si>
    <t>CloudFrontのビヘイビアで、関連付けを新バージョンのARNへ更新して切りかえる</t>
  </si>
  <si>
    <t>他の方式との比較（点数表・自動計算）</t>
  </si>
  <si>
    <t>各方式を7つの観点で1〜5点で評価し、重みを掛けて合計しています（5点が最も良い。「運用の手間の少なさ」は手間が少ないほど高得点）。重みの行（点線枠のセル）と各方式の点数は自由に変更でき、加重合計と順位は自動で再計算されます。</t>
  </si>
  <si>
    <t>方式</t>
  </si>
  <si>
    <t>安全性
（影響範囲の制御）</t>
  </si>
  <si>
    <t>運用の手間の少なさ</t>
  </si>
  <si>
    <t>自動化・再現性</t>
  </si>
  <si>
    <t>導入のしやすさ</t>
  </si>
  <si>
    <t>コストの低さ</t>
  </si>
  <si>
    <t>加重合計</t>
  </si>
  <si>
    <t>順位</t>
  </si>
  <si>
    <t>ひとこと</t>
  </si>
  <si>
    <t>重み（変更可）</t>
  </si>
  <si>
    <t>← 加重合計の満点（重みから自動計算）</t>
  </si>
  <si>
    <t>A. $LATESTを直接上書き（エイリアスなし）</t>
  </si>
  <si>
    <t>手軽だが、変更が即本番に出て、戻すにも再デプロイが必要。本番では避ける</t>
  </si>
  <si>
    <t>B. 本方式：発行＋エイリアス一括切替</t>
  </si>
  <si>
    <t>Blue/Green型。準備は本番に影響せず、切替・切り戻しは一瞬</t>
  </si>
  <si>
    <t>C. 本方式＋加重エイリアス（手動カナリア）</t>
  </si>
  <si>
    <t>Bに「一部だけ先に出す」を追加。影響をさらに小さくできる</t>
  </si>
  <si>
    <t>D. SAM/CDK＋CodeDeploy（自動段階＋自動切り戻し）</t>
  </si>
  <si>
    <t>Cを自動化したもの。導入の手間はあるが、継続運用では最良</t>
  </si>
  <si>
    <t>E. 新しい関数を別名で作り、呼び出し元を付け替え</t>
  </si>
  <si>
    <t>呼び出し元すべての設定変更が必要。戻すのも大変</t>
  </si>
  <si>
    <t>D（CodeDeploy）は本方式を自動化したもので、本方式と対立するものではありません。B・Cは本方式そのものです。つまり「本方式を基本にし、規模や重要度に応じてC → Dへ発展させる」のが最良の選び方です。Aは本番環境では避けてください。</t>
  </si>
  <si>
    <t>向いているケース／向かないケース</t>
  </si>
  <si>
    <t>向いているケース</t>
  </si>
  <si>
    <t>向かないケース（または追加の工夫が必要）</t>
  </si>
  <si>
    <t>本番で動いていて、止めたくない・すぐ戻したい関数</t>
  </si>
  <si>
    <t>Lambda@Edge（番号付きバージョンをCloudFrontに直接関連付けるため）</t>
  </si>
  <si>
    <t>API Gateway・S3・SQSなど、複数の呼び出し元を持つ関数</t>
  </si>
  <si>
    <t>$LATEST（非修飾ARN）で呼ばれている箇所が残っている関数（先に呼び出し元の付け替えが必要）</t>
  </si>
  <si>
    <t>ランタイム更新で挙動が変わる可能性があり、本番トラフィックでの確認が必要な関数</t>
  </si>
  <si>
    <t>複数の関数が同時に新しい形式へ切りかわらないと整合が取れない変更（順序設計、または後方互換の工夫が必要）</t>
  </si>
  <si>
    <t>Provisioned Concurrency・SnapStartを使う関数（もともとバージョンが前提）</t>
  </si>
  <si>
    <t>開発中で本番利用がまだない関数（$LATESTの直接更新で十分なことも多い）</t>
  </si>
  <si>
    <t>監査・説明責任が求められるシステム（どの版がいつ動いたかを示せる）</t>
  </si>
  <si>
    <t>Lambda Web Functions（リビジョン＋エンドポイントという別のしくみを使う）</t>
  </si>
  <si>
    <t>評価のまとめ</t>
  </si>
  <si>
    <t>本方式は「準備は本番に影響させず、切替は一瞬、戻すのも一瞬」という、ランタイム更新に必要な性質をそろえた方式であり、AWS公式も推奨する標準的なやり方です。弱点は、呼び出し元が1つでも$LATESTを直接呼んでいると成り立たないことと、切り戻し先が古いランタイムであることの2点です。この2点を「事前の棚卸し」と「廃止日前の完了計画」で押さえれば、極めて安全で再現性の高い方式と評価できます。</t>
  </si>
  <si>
    <t>名札を付けかえる方法は、準備中は誰にも迷惑をかけず、切りかえも戻すのも一瞬。ただし「みんなが名札を見て注文していること」と「古いカードは一時避難用」の2つを守ることが大切です。</t>
  </si>
  <si>
    <t>8. よくある質問（Q&amp;A）</t>
  </si>
  <si>
    <t>作業の前によく出る疑問をまとめました。</t>
  </si>
  <si>
    <t>質問</t>
  </si>
  <si>
    <t>答え</t>
  </si>
  <si>
    <t>$LATESTのランタイムを変えたら、すでに発行したバージョンも新しいランタイムになりますか？</t>
  </si>
  <si>
    <t>なりません。発行済みバージョンのランタイム（識別子）は発行時に固定されます。Autoモードの場合、同じ識別子の中のパッチ（ランタイムバージョン）だけが自動で更新されます。</t>
  </si>
  <si>
    <t>ラミネートしたカードは書きかえられない</t>
  </si>
  <si>
    <t>エイリアスを$LATESTに向けることはできますか？</t>
  </si>
  <si>
    <t>できますが、本番では推奨しません。$LATESTの変更が即座に反映されて不変性が失われ、加重ルーティングやProvisioned Concurrencyも使えません。</t>
  </si>
  <si>
    <t>名札を下書きにかけると、書きかえた瞬間に給食が変わる</t>
  </si>
  <si>
    <t>切り戻しにはどれくらい時間がかかりますか？</t>
  </si>
  <si>
    <t>UpdateAliasを1回呼ぶだけで、新しいリクエストから数秒程度で切りかわります。実行中のリクエストは元のバージョンのまま完了します。</t>
  </si>
  <si>
    <t>名札を戻すのは一瞬</t>
  </si>
  <si>
    <t>廃止日を過ぎた旧バージョンにエイリアスを戻せますか？</t>
  </si>
  <si>
    <t>廃止後も関数の呼び出しは無期限に可能と公式に明記されています。エイリアスの向き先変更は関数コード・設定の更新ではありませんが、廃止済みランタイムは無保証でパッチも届かないため、あくまで一時避難です。なお更新ブロック日以降は、$LATESTの設定を廃止ランタイムへ戻すことはブロックされうるため、旧ランタイムの版を新たに作り直すことはできない前提で考えてください。</t>
  </si>
  <si>
    <t>古いカードにも戻せるが、保証切れなので長居は禁物</t>
  </si>
  <si>
    <t>加重エイリアスで、新旧のランタイムが違っていても大丈夫ですか？</t>
  </si>
  <si>
    <t>大丈夫です。条件は「両方とも発行済み」「同じ実行ロール」「同じDLQ設定」の3つで、ランタイムが違っても使えます。AWS公式ブログでもランタイム更新での利用が推奨されています。</t>
  </si>
  <si>
    <t>古いバージョンはいつ消せばよいですか？</t>
  </si>
  <si>
    <t>エイリアスが指していない・切り戻しに不要・durable実行中でない・ほかのエイリアスや呼び出し元が使っていない、を確認してから。保持ルール（例：直近3版）を決めて自動化するのがおすすめです（Serverless Landの「Lambda Version Cleanup」パターンなど）。</t>
  </si>
  <si>
    <t>使わなくなったカードは、ルールを決めて片付ける</t>
  </si>
  <si>
    <t>コンテナイメージ形式の関数でも同じですか？</t>
  </si>
  <si>
    <t>同じ考え方です。ランタイムはイメージの中にあるため、新しいベースイメージでビルド → update-function-code → publish-version → update-alias の順に行います。</t>
  </si>
  <si>
    <t>キットごとロボットの中身を入れかえてからカードにする</t>
  </si>
  <si>
    <t>SAMやCDKを使っている場合は？</t>
  </si>
  <si>
    <t>Runtimeの値を変えてデプロイするだけで、AutoPublishAlias（SAM）や Alias＋currentVersion（CDK）が発行と切替を行います。DeploymentPreferenceでCodeDeployの段階切替と自動切り戻しも使えます。</t>
  </si>
  <si>
    <t>配膳係（自動化）に任せられる</t>
  </si>
  <si>
    <t>Lambda Web Functions（2026年10月GA）でも同じことができますか？</t>
  </si>
  <si>
    <t>バージョン／エイリアスではなく、変更できない「リビジョン」と、リビジョンに重みを付けて振り分ける「エンドポイント」（最大2リビジョン）で同じことを行います。自動デプロイモードがLatestRevisionなら新リビジョンに100%切替、Disabledなら手動で重みを設定します。開始時点のランタイムはNode.js 24のみです。</t>
  </si>
  <si>
    <t>新しい種類のロボットは、名札の名前がちがう</t>
  </si>
  <si>
    <t>Lambda Managed Instancesでは？</t>
  </si>
  <si>
    <t>番号付きバージョン＋エイリアスが使えます。加えて$LATEST.PUBLISHEDという版があり、非修飾ARNの呼び出しはこれに向かいます（--publish-to LATEST_PUBLISHED で更新すると、非修飾の呼び出し元に即反映）。本方式を使うなら、呼び出し元はエイリアスに統一します。</t>
  </si>
  <si>
    <t>特別な「いつもの版」があるので、名札に統一しておく</t>
  </si>
  <si>
    <t>ランタイム管理の「Function update」モードと組み合わせる意味は？</t>
  </si>
  <si>
    <t>発行済みバージョンのランタイムバージョン（パッチ）を固定しつつ、関数を更新するたびに最新パッチを取り込めます。版の再現性を重視する場合の選択肢ですが、定期的なデプロイが必要です。多くの場合は既定のAutoで十分です。</t>
  </si>
  <si>
    <t>部品交換のタイミングを自分で決める</t>
  </si>
  <si>
    <t>dev／stg／prodを1つの関数のエイリアスで分けてもよいですか？</t>
  </si>
  <si>
    <t>可能ですが、環境変数などの設定はバージョンに属するため、環境ごとに設定を変えられません。権限やクォータも共有されます。一般的には、環境ごとにAWSアカウントを分けることが推奨されます。</t>
  </si>
  <si>
    <t>1台のロボットで練習用と本番用を兼ねると、設定がまざる</t>
  </si>
  <si>
    <t>9. 作業チェックリスト（記入用）</t>
  </si>
  <si>
    <t>関数（またはリリース）ごとにシートをコピーして使えます。「結果」はプルダウンで選び、進捗は自動で計算されます。</t>
  </si>
  <si>
    <t>記入方法</t>
  </si>
  <si>
    <t>記入する欄は「結果」（プルダウン：未／済／対象外／要確認）、「担当」「日付」「メモ」です（点線枠のセル）。下の「記入例」を参考にしてください。進捗は自動で計算されます。</t>
  </si>
  <si>
    <t>対象の項目数（対象外を除く）</t>
  </si>
  <si>
    <t>完了（済）</t>
  </si>
  <si>
    <t>要確認</t>
  </si>
  <si>
    <t>進捗率</t>
  </si>
  <si>
    <t>記入例</t>
  </si>
  <si>
    <t>チェック項目</t>
  </si>
  <si>
    <t>確認方法・基準</t>
  </si>
  <si>
    <t>結果</t>
  </si>
  <si>
    <t>担当</t>
  </si>
  <si>
    <t>日付</t>
  </si>
  <si>
    <t>メモ</t>
  </si>
  <si>
    <t>計画</t>
  </si>
  <si>
    <t>対象関数と全バージョンを一覧化した</t>
  </si>
  <si>
    <t>list-functions --function-version ALL を全リージョンで実行</t>
  </si>
  <si>
    <t>済</t>
  </si>
  <si>
    <t>担当A</t>
  </si>
  <si>
    <t>一覧をCSVで共有フォルダに保存</t>
  </si>
  <si>
    <t>list-functions --function-version ALL を全リージョン・全アカウントで実行。Trusted Advisorでも確認</t>
  </si>
  <si>
    <t>未</t>
  </si>
  <si>
    <t>移行先ランタイムを決めた</t>
  </si>
  <si>
    <t>GA済みで廃止日が最も遠いもの（例：python3.13／3.14、nodejs24.x、java21／25、dotnet10）</t>
  </si>
  <si>
    <t>廃止日・作成ブロック日・更新ブロック日を確認し、完了期限を決めた</t>
  </si>
  <si>
    <t>05_廃止予定表、公式ページで最新日付を確認</t>
  </si>
  <si>
    <t>呼び出し元がすべてエイリアス経由であることを確認した</t>
  </si>
  <si>
    <t>API Gateway・EventBridge・S3・SNS・SQS等・Step Functions・SDK呼び出し。ログに「Version: $LATEST」がない</t>
  </si>
  <si>
    <t>呼び出し権限がエイリアス単位で付与されていることを確認した</t>
  </si>
  <si>
    <t>aws lambda get-policy --qualifier prod</t>
  </si>
  <si>
    <t>判定基準（エラー率・レイテンシ・メモリ）と切り戻し基準を決めた</t>
  </si>
  <si>
    <t>例：エラー率が旧版＋0.1ポイント以内、p99悪化20%以内</t>
  </si>
  <si>
    <t>切り戻し手順（コマンド・担当・連絡先）を用意した</t>
  </si>
  <si>
    <t>06_方式と手順 No.14 のコマンドを関数ごとに準備</t>
  </si>
  <si>
    <t>現在のエイリアスの向き先バージョンとRevisionIdを記録した</t>
  </si>
  <si>
    <t>aws lambda get-alias</t>
  </si>
  <si>
    <t>開発・検証</t>
  </si>
  <si>
    <t>依存ライブラリを新ランタイム（同じアーキテクチャ）でビルドし直した</t>
  </si>
  <si>
    <t>sam build --use-container 等</t>
  </si>
  <si>
    <t>レイヤーの新ランタイム対応版を作成した</t>
  </si>
  <si>
    <t>publish-layer-version --compatible-runtimes</t>
  </si>
  <si>
    <t>AWS SDKをデプロイパッケージに含めた</t>
  </si>
  <si>
    <t>ランタイム同梱SDKの差異の影響を受けない</t>
  </si>
  <si>
    <t>単体テスト・結合テストを新ランタイムで実施した</t>
  </si>
  <si>
    <t>CI/CDで自動実行</t>
  </si>
  <si>
    <t>非推奨の警告（DeprecationWarning等）を確認した</t>
  </si>
  <si>
    <t>ログ・テスト結果を確認</t>
  </si>
  <si>
    <t>ランタイム更新とほかの変更（アーキテクチャ・メモリ等）を同時に行っていない</t>
  </si>
  <si>
    <t>1回の発行に変更は1種類</t>
  </si>
  <si>
    <t>$LATESTに意図しない変更が含まれていない</t>
  </si>
  <si>
    <t>CodeSha256・設定の差分を確認</t>
  </si>
  <si>
    <t>新しいバージョンを発行し、Runtimeが新ランタイムになっていることを確認した</t>
  </si>
  <si>
    <t>publish-version の応答を確認</t>
  </si>
  <si>
    <t>SnapStart利用時は発行完了（Active）を待った</t>
  </si>
  <si>
    <t>aws lambda wait published-version-active</t>
  </si>
  <si>
    <t>新しいバージョンを修飾ARNで直接テストした</t>
  </si>
  <si>
    <t>aws lambda invoke --qualifier &lt;新バージョン&gt;</t>
  </si>
  <si>
    <t>Provisioned Concurrency利用時は新バージョン側に割り当て、準備完了を確認した</t>
  </si>
  <si>
    <t>get-provisioned-concurrency-config</t>
  </si>
  <si>
    <t>加重エイリアス（例：10%）で段階的に適用した</t>
  </si>
  <si>
    <t>update-alias --routing-config</t>
  </si>
  <si>
    <t>ExecutedVersion別にエラー・Duration・スロットルを比べた</t>
  </si>
  <si>
    <t>CloudWatchメトリクス・Logs Insights</t>
  </si>
  <si>
    <t>全量切替を --revision-id 付きで実施した</t>
  </si>
  <si>
    <t>update-alias --function-version --revision-id</t>
  </si>
  <si>
    <t>ほかのエイリアス・関連する関数も順序どおり切りかえた</t>
  </si>
  <si>
    <t>依存関係（呼ばれる側→呼ぶ側など）に沿って実施</t>
  </si>
  <si>
    <t>一定期間の監視で問題がないことを確認した</t>
  </si>
  <si>
    <t>例：1週間</t>
  </si>
  <si>
    <t>IaC（SAM／CDK／Terraform／CloudFormation）に反映し、ドリフトがない</t>
  </si>
  <si>
    <t>ドリフト検出・plan結果を確認</t>
  </si>
  <si>
    <t>旧バージョンの保持期限を決め、期限後に削除した</t>
  </si>
  <si>
    <t>エイリアス参照中・durable実行中・ほかで利用中の版は除く</t>
  </si>
  <si>
    <t>Trusted Advisorで、廃止ランタイムを使う関数（発行済みバージョン含む）が残っていないことを確認した</t>
  </si>
  <si>
    <t>「AWS Lambda Functions Using Deprecated Runtimes」チェック</t>
  </si>
  <si>
    <t>手順書・設計書を更新し、次回のランタイム更新予定を登録した</t>
  </si>
  <si>
    <t>次の廃止日の180日前を目安に計画開始</t>
  </si>
  <si>
    <t>10. 用語集</t>
  </si>
  <si>
    <t>この資料に出てくる言葉の意味です。</t>
  </si>
  <si>
    <t>用語</t>
  </si>
  <si>
    <t>意味</t>
  </si>
  <si>
    <t>AWS Lambda</t>
  </si>
  <si>
    <t>エーダブリューエス ラムダ</t>
  </si>
  <si>
    <t>イベントをきっかけにプログラムを実行するAWSのサーバーレスサービス</t>
  </si>
  <si>
    <t>呼ばれたときだけ動く調理ロボット</t>
  </si>
  <si>
    <t>Lambda Event Functions</t>
  </si>
  <si>
    <t>ラムダ イベント ファンクションズ</t>
  </si>
  <si>
    <t>2026年10月から使われている、従来型のLambda関数の呼び名（イベント駆動・1環境1リクエスト）</t>
  </si>
  <si>
    <t>いつものロボットの新しい呼び名</t>
  </si>
  <si>
    <t>Lambda Web Functions</t>
  </si>
  <si>
    <t>ラムダ ウェブ ファンクションズ</t>
  </si>
  <si>
    <t>2026年10月12日に一般提供された、HTTPサーバーをそのまま動かせる新しい形。リビジョンとエンドポイントで版を管理</t>
  </si>
  <si>
    <t>Webのお店専用の新しいロボット</t>
  </si>
  <si>
    <t>言語の実行環境・OS・ライブラリをまとめた、関数を動かす土台</t>
  </si>
  <si>
    <t>調理キット</t>
  </si>
  <si>
    <t>ランタイム識別子</t>
  </si>
  <si>
    <t>ランタイムしきべつし</t>
  </si>
  <si>
    <t>python3.13、nodejs24.x などのランタイムの名前。言語の世代ごとに異なる</t>
  </si>
  <si>
    <t>キットの型番</t>
  </si>
  <si>
    <t>ランタイムバージョン</t>
  </si>
  <si>
    <t>同じ識別子の中のパッチの版。ARNで識別され、AWSが自動で更新するのが基本</t>
  </si>
  <si>
    <t>キットの部品交換の回数</t>
  </si>
  <si>
    <t>$LATEST</t>
  </si>
  <si>
    <t>ダラー レイテスト</t>
  </si>
  <si>
    <t>バージョン未発行の、編集できる関数本体</t>
  </si>
  <si>
    <t>下書きレシピ</t>
  </si>
  <si>
    <t>バージョン</t>
  </si>
  <si>
    <t>$LATESTのある時点を固定した、変更できないスナップショット。1からの連番</t>
  </si>
  <si>
    <t>ラミネートしたレシピカード</t>
  </si>
  <si>
    <t>発行（publish）</t>
  </si>
  <si>
    <t>はっこう（パブリッシュ）</t>
  </si>
  <si>
    <t>$LATESTから新しいバージョンを作る操作（PublishVersion API）</t>
  </si>
  <si>
    <t>下書きをラミネートする</t>
  </si>
  <si>
    <t>エイリアス</t>
  </si>
  <si>
    <t>バージョンを指す、名前つきで付けかえ可能なポインタ</t>
  </si>
  <si>
    <t>ARN</t>
  </si>
  <si>
    <t>エーアールエヌ</t>
  </si>
  <si>
    <t>AWSのリソースを一意に表す名前（住所）</t>
  </si>
  <si>
    <t>ロボットの住所</t>
  </si>
  <si>
    <t>修飾ARN／非修飾ARN</t>
  </si>
  <si>
    <t>しゅうしょく／ひしゅうしょく エーアールエヌ</t>
  </si>
  <si>
    <t>末尾にバージョンやエイリアスが付いたARN／付いていないARN（非修飾は$LATESTを呼ぶ）</t>
  </si>
  <si>
    <t>部屋番号まで書いた住所／建物名だけの住所</t>
  </si>
  <si>
    <t>かじゅう エイリアス</t>
  </si>
  <si>
    <t>1つのエイリアスで2つのバージョンに割合で振り分ける機能（トラフィックシフト）</t>
  </si>
  <si>
    <t>名札を2枚のカードにまたがせる</t>
  </si>
  <si>
    <t>カナリアリリース</t>
  </si>
  <si>
    <t>一部の利用者だけに新しい版を出して様子を見る方法</t>
  </si>
  <si>
    <t>10人に1人だけ味見</t>
  </si>
  <si>
    <t>Blue/Greenデプロイ</t>
  </si>
  <si>
    <t>ブルーグリーン デプロイ</t>
  </si>
  <si>
    <t>新旧2つの環境を用意し、入口を一度に切りかえる方法</t>
  </si>
  <si>
    <t>名札を一気に付けかえる</t>
  </si>
  <si>
    <t>ロールバック（切り戻し）</t>
  </si>
  <si>
    <t>ロールバック</t>
  </si>
  <si>
    <t>問題が出たときに前の状態へ戻すこと</t>
  </si>
  <si>
    <t>名札を元に戻す</t>
  </si>
  <si>
    <t>AWS CodeDeploy</t>
  </si>
  <si>
    <t>コードデプロイ</t>
  </si>
  <si>
    <t>段階的な切替と、アラーム連動の自動ロールバックを行うデプロイサービス</t>
  </si>
  <si>
    <t>自動の配膳係</t>
  </si>
  <si>
    <t>AWS SAM</t>
  </si>
  <si>
    <t>サム</t>
  </si>
  <si>
    <t>サーバーレス用のIaCツール。AutoPublishAliasで発行とエイリアス更新を自動化</t>
  </si>
  <si>
    <t>レシピの自動清書機</t>
  </si>
  <si>
    <t>AWS CDK</t>
  </si>
  <si>
    <t>シーディーケー</t>
  </si>
  <si>
    <t>プログラミング言語でAWSの構成を書くIaCツール</t>
  </si>
  <si>
    <t>設計図をプログラムで書く道具</t>
  </si>
  <si>
    <t>IaC</t>
  </si>
  <si>
    <t>アイエーシー</t>
  </si>
  <si>
    <t>Infrastructure as Code。構成をコードで管理し、再現性を高める考え方</t>
  </si>
  <si>
    <t>設計図どおりに毎回同じものを作る</t>
  </si>
  <si>
    <t>Provisioned Concurrency</t>
  </si>
  <si>
    <t>プロビジョンド コンカレンシー</t>
  </si>
  <si>
    <t>あらかじめ実行環境を準備しておき、コールドスタートを防ぐ機能。バージョン／エイリアスにのみ設定可能</t>
  </si>
  <si>
    <t>ロボットを先に起こして待機させる</t>
  </si>
  <si>
    <t>SnapStart</t>
  </si>
  <si>
    <t>スナップスタート</t>
  </si>
  <si>
    <t>発行時に初期化済みの状態をスナップショットとして保存し、起動を速くする機能。発行済みバージョンのみ</t>
  </si>
  <si>
    <t>準備ができた状態を写真に撮っておく</t>
  </si>
  <si>
    <t>ライブラリなどを関数とは別に管理し、複数の関数で共有するしくみ</t>
  </si>
  <si>
    <t>共通の調味料セット</t>
  </si>
  <si>
    <t>イベントソースマッピング</t>
  </si>
  <si>
    <t>SQS・Kinesis・DynamoDB Streams等からデータを読み取り、関数を呼び出す設定</t>
  </si>
  <si>
    <t>注文票を取りに行って渡す係</t>
  </si>
  <si>
    <t>リソースベースポリシー</t>
  </si>
  <si>
    <t>どのサービス・アカウントが関数を呼べるかを、関数側に書く権限設定</t>
  </si>
  <si>
    <t>「この人の注文は受けてよい」名簿</t>
  </si>
  <si>
    <t>Trusted Advisor</t>
  </si>
  <si>
    <t>トラステッド アドバイザー</t>
  </si>
  <si>
    <t>AWSアカウントのベストプラクティス違反を知らせるサービス。廃止ランタイムを使う関数（発行済みバージョン含む）を一覧できる</t>
  </si>
  <si>
    <t>点検係</t>
  </si>
  <si>
    <t>AWS Health Dashboard</t>
  </si>
  <si>
    <t>ヘルス ダッシュボード</t>
  </si>
  <si>
    <t>AWSからのお知らせや予定された変更を確認できる画面</t>
  </si>
  <si>
    <t>お知らせ掲示板</t>
  </si>
  <si>
    <t>Amazon Linux 2／2023</t>
  </si>
  <si>
    <t>アマゾン リナックス</t>
  </si>
  <si>
    <t>Lambdaの土台となるOS。Amazon Linux 2は2026年6月30日にサポート終了</t>
  </si>
  <si>
    <t>調理室の建物</t>
  </si>
  <si>
    <t>デュラブル ファンクションズ</t>
  </si>
  <si>
    <t>途中経過を保存しながら、最長1年まで待機できる多段ワークフローの機能（2025年12月〜）。実行は開始時のバージョンに固定</t>
  </si>
  <si>
    <t>長い料理を途中で休みながら作るしくみ</t>
  </si>
  <si>
    <t>Lambda Managed Instances</t>
  </si>
  <si>
    <t>マネージド インスタンス</t>
  </si>
  <si>
    <t>Lambda関数をEC2インスタンス上で実行できる機能（2025年12月〜）</t>
  </si>
  <si>
    <t>自分専用の大きな調理室で動くロボット</t>
  </si>
  <si>
    <t>$LATEST.PUBLISHED</t>
  </si>
  <si>
    <t>ダラー レイテスト パブリッシュト</t>
  </si>
  <si>
    <t>Managed Instancesで使える、番号を管理しなくてよい発行済みの版。非修飾ARNはこれを呼ぶ</t>
  </si>
  <si>
    <t>いつでも差しかえられる「いつもの版」</t>
  </si>
  <si>
    <t>ラムダ アット エッジ</t>
  </si>
  <si>
    <t>CloudFrontのエッジで関数を実行する機能。番号付きバージョンのみ指定可能（エイリアス不可）</t>
  </si>
  <si>
    <t>配達先の近くで働く出張ロボット</t>
  </si>
  <si>
    <t>RevisionId</t>
  </si>
  <si>
    <t>リビジョンアイディー</t>
  </si>
  <si>
    <t>関数やエイリアスの更新ごとに変わるID。更新時に指定すると、他人の同時変更の上書きを防げる</t>
  </si>
  <si>
    <t>「最後に見たときのまま」の確認番号</t>
  </si>
  <si>
    <t>CodeSha256</t>
  </si>
  <si>
    <t>コードシャー256</t>
  </si>
  <si>
    <t>デプロイパッケージのハッシュ値。発行時に指定すると、意図したコードだけを発行できる</t>
  </si>
  <si>
    <t>レシピの指紋</t>
  </si>
  <si>
    <t>ExecutedVersion</t>
  </si>
  <si>
    <t>エグゼキューテッド バージョン</t>
  </si>
  <si>
    <t>エイリアス経由の呼び出しで、実際に動いたバージョンを表すメトリクスのディメンション</t>
  </si>
  <si>
    <t>どのカードで作ったかの記録</t>
  </si>
  <si>
    <t>INIT_START</t>
  </si>
  <si>
    <t>イニット スタート</t>
  </si>
  <si>
    <t>実行環境の初期化時に出るログ行。ランタイムバージョンとそのARNが記録される</t>
  </si>
  <si>
    <t>ロボットが起きたときの日誌</t>
  </si>
  <si>
    <t>11. 参考情報（出典）</t>
  </si>
  <si>
    <t>すべて2026年10月17日に内容を確認しました。日付・仕様は変更される可能性があるため、作業前に最新の内容を確認してください。</t>
  </si>
  <si>
    <t>資料名</t>
  </si>
  <si>
    <t>発行元</t>
  </si>
  <si>
    <t>URL</t>
  </si>
  <si>
    <t>主な参照内容</t>
  </si>
  <si>
    <t>Lambda runtimes（サポート中・廃止済みランタイム一覧、廃止ポリシー）</t>
  </si>
  <si>
    <t>AWS公式ドキュメント</t>
  </si>
  <si>
    <t>https://docs.aws.amazon.com/lambda/latest/dg/lambda-runtimes.html</t>
  </si>
  <si>
    <t>廃止日・作成／更新ブロック日、180日前通知、廃止後の呼び出し、AL2のEOL、Event Functionsの呼称</t>
  </si>
  <si>
    <t>Understanding how Lambda manages runtime version updates</t>
  </si>
  <si>
    <t>https://docs.aws.amazon.com/lambda/latest/dg/runtimes-update.html</t>
  </si>
  <si>
    <t>ランタイムバージョン、Auto／Function update／Manual、2段階ロールアウト</t>
  </si>
  <si>
    <t>Manage Lambda Event Function versions</t>
  </si>
  <si>
    <t>https://docs.aws.amazon.com/lambda/latest/dg/configuration-versions.html</t>
  </si>
  <si>
    <t>バージョンの不変性、発行対象の設定、修飾／非修飾ARN、番号の非再利用</t>
  </si>
  <si>
    <t>Create an alias for a Lambda Event Function</t>
  </si>
  <si>
    <t>https://docs.aws.amazon.com/lambda/latest/dg/configuration-aliases.html</t>
  </si>
  <si>
    <t>エイリアスの作成・更新・削除</t>
  </si>
  <si>
    <t>Using Lambda aliases in event sources and permissions policies</t>
  </si>
  <si>
    <t>https://docs.aws.amazon.com/lambda/latest/dg/using-aliases.html</t>
  </si>
  <si>
    <t>イベントソース・権限でのエイリアス利用</t>
  </si>
  <si>
    <t>Implement Lambda canary deployments using a weighted alias</t>
  </si>
  <si>
    <t>https://docs.aws.amazon.com/lambda/latest/dg/configuring-alias-routing.html</t>
  </si>
  <si>
    <t>加重エイリアスの条件、実行バージョンの確認方法、SAMでの段階デプロイ</t>
  </si>
  <si>
    <t>DeleteFunction（API リファレンス）</t>
  </si>
  <si>
    <t>https://docs.aws.amazon.com/lambda/latest/api/API_DeleteFunction.html</t>
  </si>
  <si>
    <t>エイリアスが参照するバージョンは削除不可</t>
  </si>
  <si>
    <t>Lambda quotas</t>
  </si>
  <si>
    <t>https://docs.aws.amazon.com/lambda/latest/dg/gettingstarted-limits.html</t>
  </si>
  <si>
    <t>コード保管容量300GB、コントロールプレーンAPI上限、Web Functionsのクォータ</t>
  </si>
  <si>
    <t>Improving startup performance with Lambda SnapStart</t>
  </si>
  <si>
    <t>https://docs.aws.amazon.com/lambda/latest/dg/snapstart.html</t>
  </si>
  <si>
    <t>SnapStartは発行済みバージョンのみ、対応ランタイム、料金</t>
  </si>
  <si>
    <t>$LATEST.PUBLISHED version in Lambda Managed Instances</t>
  </si>
  <si>
    <t>https://docs.aws.amazon.com/lambda/latest/dg/lambda-managed-instances-version-publishing.html</t>
  </si>
  <si>
    <t>$LATEST.PUBLISHED と非修飾ARNの挙動</t>
  </si>
  <si>
    <t>Invoking durable Lambda functions</t>
  </si>
  <si>
    <t>https://docs.aws.amazon.com/lambda/latest/dg/durable-invoking.html</t>
  </si>
  <si>
    <t>修飾ARNでの呼び出しが必須、実行のバージョン固定</t>
  </si>
  <si>
    <t>Managing Web Function revisions</t>
  </si>
  <si>
    <t>https://docs.aws.amazon.com/lambda/latest/dg/web-functions-revisions.html</t>
  </si>
  <si>
    <t>リビジョン・エンドポイント・重み・ロールバック</t>
  </si>
  <si>
    <t>Restrictions on Lambda@Edge</t>
  </si>
  <si>
    <t>AWS公式ドキュメント（CloudFront）</t>
  </si>
  <si>
    <t>https://docs.aws.amazon.com/AmazonCloudFront/latest/DeveloperGuide/lambda-at-edge-function-restrictions.html</t>
  </si>
  <si>
    <t>番号付きバージョンのみ（$LATEST・エイリアス不可）、Autoモードのみ</t>
  </si>
  <si>
    <t>CodeDeploy deployment configurations</t>
  </si>
  <si>
    <t>https://docs.aws.amazon.com/codedeploy/latest/userguide/deployment-configurations.html</t>
  </si>
  <si>
    <t>Canary／Linear／AllAtOnce の種類</t>
  </si>
  <si>
    <t>Announcing AWS Lambda Web Functions（2026年10月12日）</t>
  </si>
  <si>
    <t>AWS News Blog</t>
  </si>
  <si>
    <t>https://aws.amazon.com/blogs/aws/announcing-aws-lambda-web-functions-for-fast-consistent-web-app-performance-anywhere/</t>
  </si>
  <si>
    <t>Web Functions・Event Functions・MicroVMs の3形態</t>
  </si>
  <si>
    <t>Managing AWS Lambda runtime upgrades（2023年11月15日）</t>
  </si>
  <si>
    <t>AWS Compute Blog</t>
  </si>
  <si>
    <t>https://aws.amazon.com/blogs/compute/managing-aws-lambda-runtime-upgrades/</t>
  </si>
  <si>
    <t>バージョン＋加重エイリアスによるランタイム更新の推奨</t>
  </si>
  <si>
    <t>Introducing AWS Lambda runtime management controls（2023年1月）</t>
  </si>
  <si>
    <t>https://aws.amazon.com/blogs/compute/introducing-aws-lambda-runtime-management-controls/</t>
  </si>
  <si>
    <t>ランタイム管理コントロールの登場</t>
  </si>
  <si>
    <t>18</t>
  </si>
  <si>
    <t>AWS Lambda Supports Traffic Shifting and Phased Deployments with AWS CodeDeploy（2017年11月28日）</t>
  </si>
  <si>
    <t>AWS What's New</t>
  </si>
  <si>
    <t>https://aws.amazon.com/about-aws/whats-new/2017/11/aws-lambda-supports-traffic-shifting-and-phased-deployments-with-aws-codedeploy/</t>
  </si>
  <si>
    <t>加重エイリアスとCodeDeploy連携の開始</t>
  </si>
  <si>
    <t>19</t>
  </si>
  <si>
    <t>Release: AWS Lambda on 2015-10-08</t>
  </si>
  <si>
    <t>AWS Release Notes</t>
  </si>
  <si>
    <t>https://aws.amazon.com/releasenotes/6316007333823299</t>
  </si>
  <si>
    <t>バージョニングとエイリアスの提供開始</t>
  </si>
  <si>
    <t>20</t>
  </si>
  <si>
    <t>CloudWatch Events Now Supports Lambda Function Versions and Aliases（2016年4月）</t>
  </si>
  <si>
    <t>https://aws.amazon.com/about-aws/whats-new/2016/04/cloudwatch-events-now-supports-lambda-function-versions-and-aliases/</t>
  </si>
  <si>
    <t>EventBridge（旧CloudWatch Events）からのエイリアス指定</t>
  </si>
  <si>
    <t>21</t>
  </si>
  <si>
    <t>Implementing canary deployments of AWS Lambda functions with alias traffic shifting</t>
  </si>
  <si>
    <t>https://aws.amazon.com/blogs/compute/implementing-canary-deployments-of-aws-lambda-functions-with-alias-traffic-shifting/</t>
  </si>
  <si>
    <t>加重エイリアスによるカナリアの実装</t>
  </si>
  <si>
    <t>22</t>
  </si>
  <si>
    <t>AWS Lambdaを新機能バージョニングとエイリアスでBlue-Green Deploymentする</t>
  </si>
  <si>
    <t>DevelopersIO（クラスメソッド）</t>
  </si>
  <si>
    <t>https://dev.classmethod.jp/articles/aws-lambda-blue-green-deployment-made-easy/</t>
  </si>
  <si>
    <t>2015年当時のバージョニング・エイリアス活用例</t>
  </si>
  <si>
    <t>23</t>
  </si>
  <si>
    <t>AWS Lambdaでチェックポイントや最長1年間無料で待機できる機能、EC2インスタンスを選んだ関数実行も</t>
  </si>
  <si>
    <t>@IT（2025年12月3日）</t>
  </si>
  <si>
    <t>https://atmarkit.itmedia.co.jp/ait/articles/2512/03/news063.html</t>
  </si>
  <si>
    <t>re:Invent 2025 での durable functions・Managed Instances 発表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</si>
</sst>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dd"/>
    <numFmt numFmtId="178" formatCode="#,##0;\-#,##0;0"/>
    <numFmt numFmtId="179" formatCode="&quot;満点 &quot;0"/>
    <numFmt numFmtId="180" formatCode="0&quot;位&quot;"/>
    <numFmt numFmtId="181" formatCode="0&quot; 項目&quot;"/>
  </numFmts>
  <fonts count="14" x14ac:knownFonts="1">
    <font>
      <sz val="10"/>
      <name val="Meiryo UI"/>
      <family val="3"/>
      <charset val="128"/>
    </font>
    <font>
      <b/>
      <sz val="18"/>
      <color rgb="FFFFFFFF"/>
      <name val="Meiryo UI"/>
      <family val="3"/>
      <charset val="128"/>
    </font>
    <font>
      <sz val="10"/>
      <color rgb="FF595959"/>
      <name val="Meiryo UI"/>
      <family val="3"/>
      <charset val="128"/>
    </font>
    <font>
      <b/>
      <sz val="10"/>
      <color rgb="FF1A1A1A"/>
      <name val="Meiryo UI"/>
      <family val="3"/>
      <charset val="128"/>
    </font>
    <font>
      <sz val="10"/>
      <color rgb="FF1A1A1A"/>
      <name val="Meiryo UI"/>
      <family val="3"/>
      <charset val="128"/>
    </font>
    <font>
      <b/>
      <sz val="12"/>
      <color rgb="FFFFFFFF"/>
      <name val="Meiryo UI"/>
      <family val="3"/>
      <charset val="128"/>
    </font>
    <font>
      <b/>
      <sz val="10"/>
      <color rgb="FFFFFFFF"/>
      <name val="Meiryo UI"/>
      <family val="3"/>
      <charset val="128"/>
    </font>
    <font>
      <b/>
      <u/>
      <sz val="10"/>
      <color rgb="FF1A1A1A"/>
      <name val="Meiryo UI"/>
      <family val="3"/>
      <charset val="128"/>
    </font>
    <font>
      <b/>
      <sz val="16"/>
      <color rgb="FFFFFFFF"/>
      <name val="Meiryo UI"/>
      <family val="3"/>
      <charset val="128"/>
    </font>
    <font>
      <b/>
      <sz val="18"/>
      <color rgb="FF404040"/>
      <name val="Meiryo UI"/>
      <family val="3"/>
      <charset val="128"/>
    </font>
    <font>
      <b/>
      <sz val="11"/>
      <color rgb="FF1A1A1A"/>
      <name val="Meiryo UI"/>
      <family val="3"/>
      <charset val="128"/>
    </font>
    <font>
      <sz val="10"/>
      <color rgb="FF808080"/>
      <name val="Meiryo UI"/>
      <family val="3"/>
      <charset val="128"/>
    </font>
    <font>
      <u/>
      <sz val="10"/>
      <color rgb="FF1A1A1A"/>
      <name val="Meiryo UI"/>
      <family val="3"/>
      <charset val="128"/>
    </font>
    <font>
      <sz val="6"/>
      <name val="Meiryo UI"/>
      <family val="3"/>
      <charset val="128"/>
    </font>
  </fonts>
  <fills count="10">
    <fill>
      <patternFill patternType="none"/>
    </fill>
    <fill>
      <patternFill patternType="gray125"/>
    </fill>
    <fill>
      <patternFill patternType="solid">
        <fgColor rgb="FF1F1F1F"/>
      </patternFill>
    </fill>
    <fill>
      <patternFill patternType="solid">
        <fgColor rgb="FFE7E7E7"/>
      </patternFill>
    </fill>
    <fill>
      <patternFill patternType="solid">
        <fgColor rgb="FF404040"/>
      </patternFill>
    </fill>
    <fill>
      <patternFill patternType="solid">
        <fgColor rgb="FFF0F0F0"/>
      </patternFill>
    </fill>
    <fill>
      <patternFill patternType="solid">
        <fgColor rgb="FF595959"/>
      </patternFill>
    </fill>
    <fill>
      <patternFill patternType="solid">
        <fgColor rgb="FFF7F7F7"/>
      </patternFill>
    </fill>
    <fill>
      <patternFill patternType="solid">
        <fgColor rgb="FF262626"/>
      </patternFill>
    </fill>
    <fill>
      <patternFill patternType="solid">
        <fgColor rgb="FFF2F2F2"/>
      </patternFill>
    </fill>
  </fills>
  <borders count="10">
    <border>
      <left/>
      <right/>
      <top/>
      <bottom/>
      <diagonal/>
    </border>
    <border>
      <left style="thin">
        <color rgb="FFA6A6A6"/>
      </left>
      <right style="thin">
        <color rgb="FFA6A6A6"/>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404040"/>
      </left>
      <right style="thin">
        <color rgb="FF404040"/>
      </right>
      <top style="thin">
        <color rgb="FF404040"/>
      </top>
      <bottom style="thin">
        <color rgb="FF404040"/>
      </bottom>
      <diagonal/>
    </border>
    <border>
      <left/>
      <right/>
      <top style="thin">
        <color rgb="FF404040"/>
      </top>
      <bottom style="thin">
        <color rgb="FF404040"/>
      </bottom>
      <diagonal/>
    </border>
    <border>
      <left/>
      <right style="thin">
        <color rgb="FF404040"/>
      </right>
      <top style="thin">
        <color rgb="FF404040"/>
      </top>
      <bottom style="thin">
        <color rgb="FF404040"/>
      </bottom>
      <diagonal/>
    </border>
    <border>
      <left/>
      <right/>
      <top/>
      <bottom style="medium">
        <color rgb="FF404040"/>
      </bottom>
      <diagonal/>
    </border>
    <border>
      <left/>
      <right/>
      <top/>
      <bottom style="medium">
        <color rgb="FF404040"/>
      </bottom>
      <diagonal/>
    </border>
    <border>
      <left style="dashed">
        <color rgb="FF404040"/>
      </left>
      <right style="dashed">
        <color rgb="FF404040"/>
      </right>
      <top style="dashed">
        <color rgb="FF404040"/>
      </top>
      <bottom style="dashed">
        <color rgb="FF404040"/>
      </bottom>
      <diagonal/>
    </border>
  </borders>
  <cellStyleXfs count="1">
    <xf numFmtId="0" fontId="0" fillId="0" borderId="0"/>
  </cellStyleXfs>
  <cellXfs count="71">
    <xf numFmtId="0" fontId="0" fillId="0" borderId="0" xfId="0"/>
    <xf numFmtId="0" fontId="3" fillId="3" borderId="1" xfId="0" applyFont="1" applyFill="1" applyBorder="1" applyAlignment="1">
      <alignment horizontal="left" vertical="top" wrapText="1" indent="1"/>
    </xf>
    <xf numFmtId="0" fontId="6" fillId="4" borderId="4"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7" borderId="1" xfId="0" applyFont="1" applyFill="1" applyBorder="1" applyAlignment="1">
      <alignment horizontal="left" vertical="top" wrapText="1"/>
    </xf>
    <xf numFmtId="0" fontId="7" fillId="0" borderId="0" xfId="0" applyFont="1" applyAlignment="1">
      <alignment horizontal="right" vertical="center"/>
    </xf>
    <xf numFmtId="0" fontId="3" fillId="3" borderId="1" xfId="0" applyFont="1" applyFill="1" applyBorder="1" applyAlignment="1">
      <alignment horizontal="left" vertical="top" wrapText="1"/>
    </xf>
    <xf numFmtId="0" fontId="3" fillId="3"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9" fillId="0" borderId="0" xfId="0" applyFont="1" applyAlignment="1">
      <alignment horizontal="center" vertical="center"/>
    </xf>
    <xf numFmtId="0" fontId="6" fillId="8" borderId="4" xfId="0" applyFont="1" applyFill="1" applyBorder="1" applyAlignment="1">
      <alignment horizontal="center" vertical="center" wrapText="1"/>
    </xf>
    <xf numFmtId="0" fontId="3" fillId="3" borderId="1" xfId="0" applyFont="1" applyFill="1" applyBorder="1" applyAlignment="1">
      <alignment horizontal="left" vertical="center" wrapText="1" indent="1"/>
    </xf>
    <xf numFmtId="176" fontId="3" fillId="0" borderId="9" xfId="0" applyNumberFormat="1" applyFont="1" applyBorder="1" applyAlignment="1">
      <alignment horizontal="center" vertical="center"/>
    </xf>
    <xf numFmtId="0" fontId="3"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176" fontId="4" fillId="0" borderId="1" xfId="0" applyNumberFormat="1" applyFont="1" applyBorder="1" applyAlignment="1">
      <alignment horizontal="center" vertical="center" wrapText="1"/>
    </xf>
    <xf numFmtId="178" fontId="4" fillId="0" borderId="1" xfId="0" applyNumberFormat="1" applyFont="1" applyBorder="1" applyAlignment="1">
      <alignment horizontal="right"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176" fontId="4" fillId="7" borderId="1" xfId="0" applyNumberFormat="1" applyFont="1" applyFill="1" applyBorder="1" applyAlignment="1">
      <alignment horizontal="center" vertical="center" wrapText="1"/>
    </xf>
    <xf numFmtId="178" fontId="4" fillId="7" borderId="1" xfId="0" applyNumberFormat="1" applyFont="1" applyFill="1" applyBorder="1" applyAlignment="1">
      <alignment horizontal="right" vertical="center" wrapText="1"/>
    </xf>
    <xf numFmtId="0" fontId="4" fillId="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6" fillId="8" borderId="1" xfId="0" applyFont="1" applyFill="1" applyBorder="1" applyAlignment="1">
      <alignment horizontal="center" vertical="center" wrapText="1"/>
    </xf>
    <xf numFmtId="0" fontId="3" fillId="0" borderId="9" xfId="0" applyFont="1" applyBorder="1" applyAlignment="1">
      <alignment horizontal="center" vertical="center" wrapText="1"/>
    </xf>
    <xf numFmtId="179" fontId="3" fillId="3" borderId="1" xfId="0" applyNumberFormat="1" applyFont="1" applyFill="1" applyBorder="1" applyAlignment="1">
      <alignment horizontal="center" vertical="center" wrapText="1"/>
    </xf>
    <xf numFmtId="0" fontId="4" fillId="3" borderId="1" xfId="0" applyFont="1" applyFill="1" applyBorder="1"/>
    <xf numFmtId="0" fontId="2" fillId="3" borderId="1" xfId="0" applyFont="1" applyFill="1" applyBorder="1" applyAlignment="1">
      <alignment horizontal="left" vertical="center" wrapText="1" indent="1"/>
    </xf>
    <xf numFmtId="0" fontId="4" fillId="0" borderId="9" xfId="0" applyFont="1" applyBorder="1" applyAlignment="1">
      <alignment horizontal="center" vertical="center" wrapText="1"/>
    </xf>
    <xf numFmtId="1" fontId="10" fillId="0" borderId="1" xfId="0" applyNumberFormat="1" applyFont="1" applyBorder="1" applyAlignment="1">
      <alignment horizontal="center" vertical="center" wrapText="1"/>
    </xf>
    <xf numFmtId="180" fontId="10" fillId="0" borderId="1" xfId="0" applyNumberFormat="1" applyFont="1" applyBorder="1" applyAlignment="1">
      <alignment horizontal="center" vertical="center" wrapText="1"/>
    </xf>
    <xf numFmtId="0" fontId="4" fillId="0" borderId="1" xfId="0" applyFont="1" applyBorder="1" applyAlignment="1">
      <alignment horizontal="left" vertical="center" wrapText="1" indent="1"/>
    </xf>
    <xf numFmtId="181" fontId="10" fillId="0" borderId="1" xfId="0" applyNumberFormat="1" applyFont="1" applyBorder="1" applyAlignment="1">
      <alignment horizontal="left" vertical="center" indent="1"/>
    </xf>
    <xf numFmtId="9" fontId="10" fillId="0" borderId="1" xfId="0" applyNumberFormat="1" applyFont="1" applyBorder="1" applyAlignment="1">
      <alignment horizontal="left" vertical="center" indent="1"/>
    </xf>
    <xf numFmtId="0" fontId="11" fillId="7" borderId="1" xfId="0" applyFont="1" applyFill="1" applyBorder="1" applyAlignment="1">
      <alignment horizontal="left" vertical="center" wrapText="1"/>
    </xf>
    <xf numFmtId="176" fontId="11" fillId="7" borderId="1"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176" fontId="4" fillId="0" borderId="9" xfId="0" applyNumberFormat="1" applyFont="1" applyBorder="1" applyAlignment="1">
      <alignment horizontal="center" vertical="center" wrapText="1"/>
    </xf>
    <xf numFmtId="0" fontId="4" fillId="0" borderId="9" xfId="0" applyFont="1" applyBorder="1" applyAlignment="1">
      <alignment horizontal="left" vertical="center" wrapText="1"/>
    </xf>
    <xf numFmtId="0" fontId="2" fillId="7" borderId="1" xfId="0" applyFont="1" applyFill="1" applyBorder="1" applyAlignment="1">
      <alignment horizontal="left" vertical="center" wrapText="1"/>
    </xf>
    <xf numFmtId="0" fontId="12" fillId="0" borderId="1" xfId="0" applyFont="1" applyBorder="1" applyAlignment="1">
      <alignment horizontal="left" vertical="top" wrapText="1"/>
    </xf>
    <xf numFmtId="0" fontId="12"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0" fillId="0" borderId="3" xfId="0" applyBorder="1"/>
    <xf numFmtId="0" fontId="4" fillId="0" borderId="1" xfId="0" applyFont="1" applyBorder="1" applyAlignment="1">
      <alignment horizontal="left" vertical="top" wrapText="1"/>
    </xf>
    <xf numFmtId="0" fontId="4" fillId="0" borderId="1" xfId="0" applyFont="1" applyBorder="1" applyAlignment="1">
      <alignment horizontal="left" vertical="top" wrapText="1" indent="1"/>
    </xf>
    <xf numFmtId="0" fontId="0" fillId="0" borderId="2" xfId="0" applyBorder="1"/>
    <xf numFmtId="0" fontId="4" fillId="0" borderId="0" xfId="0" applyFont="1" applyAlignment="1">
      <alignment horizontal="left" vertical="top" wrapText="1" indent="1"/>
    </xf>
    <xf numFmtId="0" fontId="0" fillId="0" borderId="0" xfId="0"/>
    <xf numFmtId="0" fontId="5" fillId="4" borderId="0" xfId="0" applyFont="1" applyFill="1" applyAlignment="1">
      <alignment horizontal="left" vertical="center" wrapText="1" indent="1"/>
    </xf>
    <xf numFmtId="0" fontId="4" fillId="5" borderId="4" xfId="0" applyFont="1" applyFill="1" applyBorder="1" applyAlignment="1">
      <alignment horizontal="left" vertical="top" wrapText="1" indent="1"/>
    </xf>
    <xf numFmtId="0" fontId="0" fillId="0" borderId="5" xfId="0" applyBorder="1"/>
    <xf numFmtId="0" fontId="0" fillId="0" borderId="6" xfId="0" applyBorder="1"/>
    <xf numFmtId="0" fontId="6" fillId="6" borderId="1" xfId="0" applyFont="1" applyFill="1" applyBorder="1" applyAlignment="1">
      <alignment horizontal="center" vertical="center" wrapText="1"/>
    </xf>
    <xf numFmtId="0" fontId="2" fillId="0" borderId="0" xfId="0" applyFont="1" applyAlignment="1">
      <alignment horizontal="left" vertical="center" wrapText="1" indent="1"/>
    </xf>
    <xf numFmtId="0" fontId="1" fillId="2" borderId="0" xfId="0" applyFont="1" applyFill="1" applyAlignment="1">
      <alignment horizontal="left" vertical="center" wrapText="1" indent="1"/>
    </xf>
    <xf numFmtId="0" fontId="8" fillId="2" borderId="0" xfId="0" applyFont="1" applyFill="1" applyAlignment="1">
      <alignment horizontal="left" vertical="center" wrapText="1" indent="1"/>
    </xf>
    <xf numFmtId="0" fontId="4" fillId="0" borderId="0" xfId="0" applyFont="1" applyAlignment="1">
      <alignment horizontal="left" vertical="top" wrapText="1"/>
    </xf>
    <xf numFmtId="0" fontId="4" fillId="5" borderId="4" xfId="0" applyFont="1" applyFill="1" applyBorder="1" applyAlignment="1">
      <alignment horizontal="left" vertical="center" wrapText="1" indent="1"/>
    </xf>
    <xf numFmtId="0" fontId="10" fillId="0" borderId="7" xfId="0" applyFont="1" applyBorder="1" applyAlignment="1">
      <alignment horizontal="left" vertical="center" wrapText="1"/>
    </xf>
    <xf numFmtId="0" fontId="0" fillId="0" borderId="8" xfId="0" applyBorder="1"/>
    <xf numFmtId="0" fontId="3" fillId="3" borderId="1" xfId="0" applyFont="1" applyFill="1" applyBorder="1" applyAlignment="1">
      <alignment horizontal="left" vertical="center" wrapText="1" indent="1"/>
    </xf>
    <xf numFmtId="0" fontId="6" fillId="4" borderId="4"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9" borderId="4" xfId="0" applyFont="1" applyFill="1" applyBorder="1" applyAlignment="1">
      <alignment horizontal="left" vertical="top" wrapText="1" indent="1"/>
    </xf>
    <xf numFmtId="0" fontId="3" fillId="0" borderId="0" xfId="0" applyFont="1" applyAlignment="1">
      <alignment horizontal="left" vertical="center"/>
    </xf>
  </cellXfs>
  <cellStyles count="1">
    <cellStyle name="標準" xfId="0" builtinId="0"/>
  </cellStyles>
  <dxfs count="6">
    <dxf>
      <font>
        <b/>
        <name val="Meiryo UI"/>
      </font>
      <fill>
        <patternFill patternType="solid">
          <fgColor rgb="FFBFBFBF"/>
          <bgColor rgb="FFBFBFBF"/>
        </patternFill>
      </fill>
    </dxf>
    <dxf>
      <font>
        <color rgb="FF808080"/>
        <name val="Meiryo UI"/>
      </font>
    </dxf>
    <dxf>
      <font>
        <b/>
        <color rgb="FFFFFFFF"/>
        <name val="Meiryo UI"/>
      </font>
      <fill>
        <patternFill patternType="solid">
          <fgColor rgb="FF262626"/>
          <bgColor rgb="FF262626"/>
        </patternFill>
      </fill>
    </dxf>
    <dxf>
      <fill>
        <patternFill patternType="solid">
          <fgColor rgb="FFE0E0E0"/>
          <bgColor rgb="FFE0E0E0"/>
        </patternFill>
      </fill>
    </dxf>
    <dxf>
      <font>
        <b/>
        <color rgb="FF1A1A1A"/>
        <name val="Meiryo UI"/>
      </font>
      <fill>
        <patternFill patternType="solid">
          <fgColor rgb="FFBFBFBF"/>
          <bgColor rgb="FFBFBFBF"/>
        </patternFill>
      </fill>
    </dxf>
    <dxf>
      <font>
        <b/>
        <color rgb="FFFFFFFF"/>
        <name val="Meiryo UI"/>
      </font>
      <fill>
        <patternFill patternType="solid">
          <fgColor rgb="FF404040"/>
          <bgColor rgb="FF40404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8" Type="http://schemas.openxmlformats.org/officeDocument/2006/relationships/hyperlink" Target="https://docs.aws.amazon.com/lambda/latest/dg/gettingstarted-limits.html" TargetMode="External"/><Relationship Id="rId13" Type="http://schemas.openxmlformats.org/officeDocument/2006/relationships/hyperlink" Target="https://docs.aws.amazon.com/AmazonCloudFront/latest/DeveloperGuide/lambda-at-edge-function-restrictions.html" TargetMode="External"/><Relationship Id="rId18" Type="http://schemas.openxmlformats.org/officeDocument/2006/relationships/hyperlink" Target="https://aws.amazon.com/about-aws/whats-new/2017/11/aws-lambda-supports-traffic-shifting-and-phased-deployments-with-aws-codedeploy/" TargetMode="External"/><Relationship Id="rId3" Type="http://schemas.openxmlformats.org/officeDocument/2006/relationships/hyperlink" Target="https://docs.aws.amazon.com/lambda/latest/dg/configuration-versions.html" TargetMode="External"/><Relationship Id="rId21" Type="http://schemas.openxmlformats.org/officeDocument/2006/relationships/hyperlink" Target="https://aws.amazon.com/blogs/compute/implementing-canary-deployments-of-aws-lambda-functions-with-alias-traffic-shifting/" TargetMode="External"/><Relationship Id="rId7" Type="http://schemas.openxmlformats.org/officeDocument/2006/relationships/hyperlink" Target="https://docs.aws.amazon.com/lambda/latest/api/API_DeleteFunction.html" TargetMode="External"/><Relationship Id="rId12" Type="http://schemas.openxmlformats.org/officeDocument/2006/relationships/hyperlink" Target="https://docs.aws.amazon.com/lambda/latest/dg/web-functions-revisions.html" TargetMode="External"/><Relationship Id="rId17" Type="http://schemas.openxmlformats.org/officeDocument/2006/relationships/hyperlink" Target="https://aws.amazon.com/blogs/compute/introducing-aws-lambda-runtime-management-controls/" TargetMode="External"/><Relationship Id="rId2" Type="http://schemas.openxmlformats.org/officeDocument/2006/relationships/hyperlink" Target="https://docs.aws.amazon.com/lambda/latest/dg/runtimes-update.html" TargetMode="External"/><Relationship Id="rId16" Type="http://schemas.openxmlformats.org/officeDocument/2006/relationships/hyperlink" Target="https://aws.amazon.com/blogs/compute/managing-aws-lambda-runtime-upgrades/" TargetMode="External"/><Relationship Id="rId20" Type="http://schemas.openxmlformats.org/officeDocument/2006/relationships/hyperlink" Target="https://aws.amazon.com/about-aws/whats-new/2016/04/cloudwatch-events-now-supports-lambda-function-versions-and-aliases/" TargetMode="External"/><Relationship Id="rId1" Type="http://schemas.openxmlformats.org/officeDocument/2006/relationships/hyperlink" Target="https://docs.aws.amazon.com/lambda/latest/dg/lambda-runtimes.html" TargetMode="External"/><Relationship Id="rId6" Type="http://schemas.openxmlformats.org/officeDocument/2006/relationships/hyperlink" Target="https://docs.aws.amazon.com/lambda/latest/dg/configuring-alias-routing.html" TargetMode="External"/><Relationship Id="rId11" Type="http://schemas.openxmlformats.org/officeDocument/2006/relationships/hyperlink" Target="https://docs.aws.amazon.com/lambda/latest/dg/durable-invoking.html" TargetMode="External"/><Relationship Id="rId5" Type="http://schemas.openxmlformats.org/officeDocument/2006/relationships/hyperlink" Target="https://docs.aws.amazon.com/lambda/latest/dg/using-aliases.html" TargetMode="External"/><Relationship Id="rId15" Type="http://schemas.openxmlformats.org/officeDocument/2006/relationships/hyperlink" Target="https://aws.amazon.com/blogs/aws/announcing-aws-lambda-web-functions-for-fast-consistent-web-app-performance-anywhere/" TargetMode="External"/><Relationship Id="rId23" Type="http://schemas.openxmlformats.org/officeDocument/2006/relationships/hyperlink" Target="https://atmarkit.itmedia.co.jp/ait/articles/2512/03/news063.html" TargetMode="External"/><Relationship Id="rId10" Type="http://schemas.openxmlformats.org/officeDocument/2006/relationships/hyperlink" Target="https://docs.aws.amazon.com/lambda/latest/dg/lambda-managed-instances-version-publishing.html" TargetMode="External"/><Relationship Id="rId19" Type="http://schemas.openxmlformats.org/officeDocument/2006/relationships/hyperlink" Target="https://aws.amazon.com/releasenotes/6316007333823299" TargetMode="External"/><Relationship Id="rId4" Type="http://schemas.openxmlformats.org/officeDocument/2006/relationships/hyperlink" Target="https://docs.aws.amazon.com/lambda/latest/dg/configuration-aliases.html" TargetMode="External"/><Relationship Id="rId9" Type="http://schemas.openxmlformats.org/officeDocument/2006/relationships/hyperlink" Target="https://docs.aws.amazon.com/lambda/latest/dg/snapstart.html" TargetMode="External"/><Relationship Id="rId14" Type="http://schemas.openxmlformats.org/officeDocument/2006/relationships/hyperlink" Target="https://docs.aws.amazon.com/codedeploy/latest/userguide/deployment-configurations.html" TargetMode="External"/><Relationship Id="rId22" Type="http://schemas.openxmlformats.org/officeDocument/2006/relationships/hyperlink" Target="https://dev.classmethod.jp/articles/aws-lambda-blue-green-deployment-made-eas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B1:E38"/>
  <sheetViews>
    <sheetView showGridLines="0" tabSelected="1" workbookViewId="0">
      <pane ySplit="3" topLeftCell="A4" activePane="bottomLeft" state="frozen"/>
      <selection pane="bottomLeft"/>
    </sheetView>
  </sheetViews>
  <sheetFormatPr defaultRowHeight="14.4" x14ac:dyDescent="0.3"/>
  <cols>
    <col min="1" max="1" width="2.453125" customWidth="1"/>
    <col min="2" max="2" width="20" customWidth="1"/>
    <col min="3" max="4" width="42" customWidth="1"/>
    <col min="5" max="5" width="34" customWidth="1"/>
    <col min="6" max="6" width="2.453125" customWidth="1"/>
  </cols>
  <sheetData>
    <row r="1" spans="2:5" ht="7.95" customHeight="1" x14ac:dyDescent="0.3"/>
    <row r="2" spans="2:5" ht="38.1" customHeight="1" x14ac:dyDescent="0.3">
      <c r="B2" s="60" t="s">
        <v>0</v>
      </c>
      <c r="C2" s="53"/>
      <c r="D2" s="53"/>
      <c r="E2" s="53"/>
    </row>
    <row r="3" spans="2:5" ht="37.049999999999997" customHeight="1" x14ac:dyDescent="0.3">
      <c r="B3" s="59" t="s">
        <v>1</v>
      </c>
      <c r="C3" s="53"/>
      <c r="D3" s="53"/>
      <c r="E3" s="53"/>
    </row>
    <row r="4" spans="2:5" ht="7.95" customHeight="1" x14ac:dyDescent="0.3"/>
    <row r="5" spans="2:5" ht="20.55" customHeight="1" x14ac:dyDescent="0.3">
      <c r="B5" s="1" t="s">
        <v>2</v>
      </c>
      <c r="C5" s="50" t="s">
        <v>3</v>
      </c>
      <c r="D5" s="51"/>
      <c r="E5" s="48"/>
    </row>
    <row r="6" spans="2:5" ht="34.950000000000003" customHeight="1" x14ac:dyDescent="0.3">
      <c r="B6" s="1" t="s">
        <v>4</v>
      </c>
      <c r="C6" s="50" t="s">
        <v>5</v>
      </c>
      <c r="D6" s="51"/>
      <c r="E6" s="48"/>
    </row>
    <row r="7" spans="2:5" ht="34.950000000000003" customHeight="1" x14ac:dyDescent="0.3">
      <c r="B7" s="1" t="s">
        <v>6</v>
      </c>
      <c r="C7" s="50" t="s">
        <v>7</v>
      </c>
      <c r="D7" s="51"/>
      <c r="E7" s="48"/>
    </row>
    <row r="8" spans="2:5" ht="20.55" customHeight="1" x14ac:dyDescent="0.3">
      <c r="B8" s="1" t="s">
        <v>8</v>
      </c>
      <c r="C8" s="50" t="s">
        <v>9</v>
      </c>
      <c r="D8" s="51"/>
      <c r="E8" s="48"/>
    </row>
    <row r="9" spans="2:5" ht="20.55" customHeight="1" x14ac:dyDescent="0.3">
      <c r="B9" s="1" t="s">
        <v>10</v>
      </c>
      <c r="C9" s="50" t="s">
        <v>11</v>
      </c>
      <c r="D9" s="51"/>
      <c r="E9" s="48"/>
    </row>
    <row r="10" spans="2:5" ht="6" customHeight="1" x14ac:dyDescent="0.3"/>
    <row r="11" spans="2:5" ht="10.050000000000001" customHeight="1" x14ac:dyDescent="0.3"/>
    <row r="12" spans="2:5" ht="25.35" customHeight="1" x14ac:dyDescent="0.3">
      <c r="B12" s="54" t="s">
        <v>12</v>
      </c>
      <c r="C12" s="53"/>
      <c r="D12" s="53"/>
      <c r="E12" s="53"/>
    </row>
    <row r="13" spans="2:5" ht="4.05" customHeight="1" x14ac:dyDescent="0.3"/>
    <row r="14" spans="2:5" ht="34.049999999999997" customHeight="1" x14ac:dyDescent="0.3">
      <c r="B14" s="52" t="s">
        <v>13</v>
      </c>
      <c r="C14" s="53"/>
      <c r="D14" s="53"/>
      <c r="E14" s="53"/>
    </row>
    <row r="15" spans="2:5" ht="34.049999999999997" customHeight="1" x14ac:dyDescent="0.3">
      <c r="B15" s="52" t="s">
        <v>14</v>
      </c>
      <c r="C15" s="53"/>
      <c r="D15" s="53"/>
      <c r="E15" s="53"/>
    </row>
    <row r="16" spans="2:5" ht="34.049999999999997" customHeight="1" x14ac:dyDescent="0.3">
      <c r="B16" s="52" t="s">
        <v>15</v>
      </c>
      <c r="C16" s="53"/>
      <c r="D16" s="53"/>
      <c r="E16" s="53"/>
    </row>
    <row r="17" spans="2:5" ht="4.05" customHeight="1" x14ac:dyDescent="0.3"/>
    <row r="18" spans="2:5" ht="10.050000000000001" customHeight="1" x14ac:dyDescent="0.3"/>
    <row r="19" spans="2:5" ht="25.35" customHeight="1" x14ac:dyDescent="0.3">
      <c r="B19" s="54" t="s">
        <v>16</v>
      </c>
      <c r="C19" s="53"/>
      <c r="D19" s="53"/>
      <c r="E19" s="53"/>
    </row>
    <row r="20" spans="2:5" ht="4.05" customHeight="1" x14ac:dyDescent="0.3"/>
    <row r="21" spans="2:5" ht="49.5" customHeight="1" x14ac:dyDescent="0.3">
      <c r="B21" s="2" t="s">
        <v>17</v>
      </c>
      <c r="C21" s="55" t="s">
        <v>18</v>
      </c>
      <c r="D21" s="56"/>
      <c r="E21" s="57"/>
    </row>
    <row r="22" spans="2:5" ht="6" customHeight="1" x14ac:dyDescent="0.3"/>
    <row r="23" spans="2:5" ht="10.050000000000001" customHeight="1" x14ac:dyDescent="0.3"/>
    <row r="24" spans="2:5" ht="25.35" customHeight="1" x14ac:dyDescent="0.3">
      <c r="B24" s="54" t="s">
        <v>19</v>
      </c>
      <c r="C24" s="53"/>
      <c r="D24" s="53"/>
      <c r="E24" s="53"/>
    </row>
    <row r="25" spans="2:5" ht="4.05" customHeight="1" x14ac:dyDescent="0.3"/>
    <row r="26" spans="2:5" ht="22.5" customHeight="1" x14ac:dyDescent="0.3">
      <c r="B26" s="3" t="s">
        <v>20</v>
      </c>
      <c r="C26" s="58" t="s">
        <v>21</v>
      </c>
      <c r="D26" s="48"/>
      <c r="E26" s="3" t="s">
        <v>22</v>
      </c>
    </row>
    <row r="27" spans="2:5" ht="20.55" customHeight="1" x14ac:dyDescent="0.3">
      <c r="B27" s="4" t="s">
        <v>23</v>
      </c>
      <c r="C27" s="49" t="s">
        <v>24</v>
      </c>
      <c r="D27" s="48"/>
      <c r="E27" s="5" t="s">
        <v>25</v>
      </c>
    </row>
    <row r="28" spans="2:5" ht="20.55" customHeight="1" x14ac:dyDescent="0.3">
      <c r="B28" s="4" t="s">
        <v>26</v>
      </c>
      <c r="C28" s="47" t="s">
        <v>27</v>
      </c>
      <c r="D28" s="48"/>
      <c r="E28" s="6" t="s">
        <v>28</v>
      </c>
    </row>
    <row r="29" spans="2:5" ht="20.55" customHeight="1" x14ac:dyDescent="0.3">
      <c r="B29" s="4" t="s">
        <v>29</v>
      </c>
      <c r="C29" s="49" t="s">
        <v>30</v>
      </c>
      <c r="D29" s="48"/>
      <c r="E29" s="5" t="s">
        <v>31</v>
      </c>
    </row>
    <row r="30" spans="2:5" ht="20.55" customHeight="1" x14ac:dyDescent="0.3">
      <c r="B30" s="4" t="s">
        <v>32</v>
      </c>
      <c r="C30" s="47" t="s">
        <v>33</v>
      </c>
      <c r="D30" s="48"/>
      <c r="E30" s="6" t="s">
        <v>34</v>
      </c>
    </row>
    <row r="31" spans="2:5" ht="20.55" customHeight="1" x14ac:dyDescent="0.3">
      <c r="B31" s="4" t="s">
        <v>35</v>
      </c>
      <c r="C31" s="49" t="s">
        <v>36</v>
      </c>
      <c r="D31" s="48"/>
      <c r="E31" s="5" t="s">
        <v>37</v>
      </c>
    </row>
    <row r="32" spans="2:5" ht="20.55" customHeight="1" x14ac:dyDescent="0.3">
      <c r="B32" s="4" t="s">
        <v>38</v>
      </c>
      <c r="C32" s="47" t="s">
        <v>39</v>
      </c>
      <c r="D32" s="48"/>
      <c r="E32" s="6" t="s">
        <v>40</v>
      </c>
    </row>
    <row r="33" spans="2:5" ht="20.55" customHeight="1" x14ac:dyDescent="0.3">
      <c r="B33" s="4" t="s">
        <v>41</v>
      </c>
      <c r="C33" s="49" t="s">
        <v>42</v>
      </c>
      <c r="D33" s="48"/>
      <c r="E33" s="5" t="s">
        <v>43</v>
      </c>
    </row>
    <row r="34" spans="2:5" ht="20.55" customHeight="1" x14ac:dyDescent="0.3">
      <c r="B34" s="4" t="s">
        <v>44</v>
      </c>
      <c r="C34" s="47" t="s">
        <v>45</v>
      </c>
      <c r="D34" s="48"/>
      <c r="E34" s="6" t="s">
        <v>46</v>
      </c>
    </row>
    <row r="35" spans="2:5" ht="20.55" customHeight="1" x14ac:dyDescent="0.3">
      <c r="B35" s="4" t="s">
        <v>47</v>
      </c>
      <c r="C35" s="49" t="s">
        <v>48</v>
      </c>
      <c r="D35" s="48"/>
      <c r="E35" s="5" t="s">
        <v>49</v>
      </c>
    </row>
    <row r="36" spans="2:5" ht="20.55" customHeight="1" x14ac:dyDescent="0.3">
      <c r="B36" s="4" t="s">
        <v>50</v>
      </c>
      <c r="C36" s="47" t="s">
        <v>51</v>
      </c>
      <c r="D36" s="48"/>
      <c r="E36" s="6" t="s">
        <v>46</v>
      </c>
    </row>
    <row r="37" spans="2:5" ht="20.55" customHeight="1" x14ac:dyDescent="0.3">
      <c r="B37" s="4" t="s">
        <v>52</v>
      </c>
      <c r="C37" s="49" t="s">
        <v>53</v>
      </c>
      <c r="D37" s="48"/>
      <c r="E37" s="5" t="s">
        <v>54</v>
      </c>
    </row>
    <row r="38" spans="2:5" ht="7.95" customHeight="1" x14ac:dyDescent="0.3"/>
  </sheetData>
  <mergeCells count="26">
    <mergeCell ref="C37:D37"/>
    <mergeCell ref="C28:D28"/>
    <mergeCell ref="B19:E19"/>
    <mergeCell ref="C36:D36"/>
    <mergeCell ref="B2:E2"/>
    <mergeCell ref="B14:E14"/>
    <mergeCell ref="C6:E6"/>
    <mergeCell ref="C32:D32"/>
    <mergeCell ref="C5:E5"/>
    <mergeCell ref="C35:D35"/>
    <mergeCell ref="C29:D29"/>
    <mergeCell ref="C8:E8"/>
    <mergeCell ref="B16:E16"/>
    <mergeCell ref="B3:E3"/>
    <mergeCell ref="C7:E7"/>
    <mergeCell ref="C31:D31"/>
    <mergeCell ref="B12:E12"/>
    <mergeCell ref="C27:D27"/>
    <mergeCell ref="C34:D34"/>
    <mergeCell ref="C30:D30"/>
    <mergeCell ref="C33:D33"/>
    <mergeCell ref="C9:E9"/>
    <mergeCell ref="B15:E15"/>
    <mergeCell ref="B24:E24"/>
    <mergeCell ref="C21:E21"/>
    <mergeCell ref="C26:D26"/>
  </mergeCells>
  <phoneticPr fontId="13"/>
  <hyperlinks>
    <hyperlink ref="B27" location="'01_やさしく解説'!A1" display="01_やさしく解説" xr:uid="{00000000-0004-0000-0000-000000000000}"/>
    <hyperlink ref="B28" location="'02_歴史と背景'!A1" display="02_歴史と背景" xr:uid="{00000000-0004-0000-0000-000001000000}"/>
    <hyperlink ref="B29" location="'03_エイリアスの仕組み'!A1" display="03_エイリアスの仕組み" xr:uid="{00000000-0004-0000-0000-000002000000}"/>
    <hyperlink ref="B30" location="'04_ランタイムの基礎'!A1" display="04_ランタイムの基礎" xr:uid="{00000000-0004-0000-0000-000003000000}"/>
    <hyperlink ref="B31" location="'05_廃止予定表'!A1" display="05_廃止予定表" xr:uid="{00000000-0004-0000-0000-000004000000}"/>
    <hyperlink ref="B32" location="'06_方式と手順'!A1" display="06_方式と手順" xr:uid="{00000000-0004-0000-0000-000005000000}"/>
    <hyperlink ref="B33" location="'07_方式の評価'!A1" display="07_方式の評価" xr:uid="{00000000-0004-0000-0000-000006000000}"/>
    <hyperlink ref="B34" location="'08_よくある質問'!A1" display="08_よくある質問" xr:uid="{00000000-0004-0000-0000-000007000000}"/>
    <hyperlink ref="B35" location="'09_チェックリスト'!A1" display="09_チェックリスト" xr:uid="{00000000-0004-0000-0000-000008000000}"/>
    <hyperlink ref="B36" location="'10_用語集'!A1" display="10_用語集" xr:uid="{00000000-0004-0000-0000-000009000000}"/>
    <hyperlink ref="B37" location="'11_参考情報'!A1" display="11_参考情報" xr:uid="{00000000-0004-0000-0000-00000A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95959"/>
    <pageSetUpPr fitToPage="1"/>
  </sheetPr>
  <dimension ref="B1:G58"/>
  <sheetViews>
    <sheetView showGridLines="0" workbookViewId="0">
      <pane ySplit="3" topLeftCell="A4" activePane="bottomLeft" state="frozen"/>
      <selection pane="bottomLeft"/>
    </sheetView>
  </sheetViews>
  <sheetFormatPr defaultRowHeight="14.4" x14ac:dyDescent="0.3"/>
  <cols>
    <col min="1" max="1" width="2.453125" customWidth="1"/>
    <col min="2" max="2" width="16" customWidth="1"/>
    <col min="3" max="3" width="24" customWidth="1"/>
    <col min="4" max="4" width="7" customWidth="1"/>
    <col min="5" max="5" width="24" customWidth="1"/>
    <col min="6" max="6" width="7" customWidth="1"/>
    <col min="7" max="7" width="30" customWidth="1"/>
    <col min="8" max="8" width="2.453125" customWidth="1"/>
  </cols>
  <sheetData>
    <row r="1" spans="2:7" ht="7.95" customHeight="1" x14ac:dyDescent="0.3"/>
    <row r="2" spans="2:7" ht="36" customHeight="1" x14ac:dyDescent="0.3">
      <c r="B2" s="61" t="s">
        <v>55</v>
      </c>
      <c r="C2" s="53"/>
      <c r="D2" s="53"/>
      <c r="E2" s="53"/>
      <c r="F2" s="53"/>
      <c r="G2" s="53"/>
    </row>
    <row r="3" spans="2:7" ht="24" customHeight="1" x14ac:dyDescent="0.3">
      <c r="B3" s="59" t="s">
        <v>56</v>
      </c>
      <c r="C3" s="53"/>
      <c r="D3" s="53"/>
      <c r="E3" s="53"/>
      <c r="F3" s="53"/>
      <c r="G3" s="7" t="s">
        <v>57</v>
      </c>
    </row>
    <row r="4" spans="2:7" ht="7.95" customHeight="1" x14ac:dyDescent="0.3"/>
    <row r="5" spans="2:7" ht="25.35" customHeight="1" x14ac:dyDescent="0.3">
      <c r="B5" s="54" t="s">
        <v>58</v>
      </c>
      <c r="C5" s="53"/>
      <c r="D5" s="53"/>
      <c r="E5" s="53"/>
      <c r="F5" s="53"/>
      <c r="G5" s="53"/>
    </row>
    <row r="6" spans="2:7" ht="4.05" customHeight="1" x14ac:dyDescent="0.3"/>
    <row r="7" spans="2:7" ht="61.95" customHeight="1" x14ac:dyDescent="0.3">
      <c r="B7" s="62" t="s">
        <v>59</v>
      </c>
      <c r="C7" s="53"/>
      <c r="D7" s="53"/>
      <c r="E7" s="53"/>
      <c r="F7" s="53"/>
      <c r="G7" s="53"/>
    </row>
    <row r="8" spans="2:7" ht="4.05" customHeight="1" x14ac:dyDescent="0.3"/>
    <row r="9" spans="2:7" ht="24" customHeight="1" x14ac:dyDescent="0.3">
      <c r="B9" s="2" t="s">
        <v>17</v>
      </c>
      <c r="C9" s="55" t="s">
        <v>60</v>
      </c>
      <c r="D9" s="56"/>
      <c r="E9" s="56"/>
      <c r="F9" s="56"/>
      <c r="G9" s="57"/>
    </row>
    <row r="10" spans="2:7" ht="6" customHeight="1" x14ac:dyDescent="0.3"/>
    <row r="11" spans="2:7" ht="10.050000000000001" customHeight="1" x14ac:dyDescent="0.3"/>
    <row r="12" spans="2:7" ht="25.35" customHeight="1" x14ac:dyDescent="0.3">
      <c r="B12" s="54" t="s">
        <v>61</v>
      </c>
      <c r="C12" s="53"/>
      <c r="D12" s="53"/>
      <c r="E12" s="53"/>
      <c r="F12" s="53"/>
      <c r="G12" s="53"/>
    </row>
    <row r="13" spans="2:7" ht="4.05" customHeight="1" x14ac:dyDescent="0.3"/>
    <row r="14" spans="2:7" ht="22.5" customHeight="1" x14ac:dyDescent="0.3">
      <c r="B14" s="3" t="s">
        <v>62</v>
      </c>
      <c r="C14" s="58" t="s">
        <v>63</v>
      </c>
      <c r="D14" s="48"/>
      <c r="E14" s="58" t="s">
        <v>64</v>
      </c>
      <c r="F14" s="51"/>
      <c r="G14" s="48"/>
    </row>
    <row r="15" spans="2:7" ht="20.55" customHeight="1" x14ac:dyDescent="0.3">
      <c r="B15" s="8" t="s">
        <v>65</v>
      </c>
      <c r="C15" s="49" t="s">
        <v>66</v>
      </c>
      <c r="D15" s="48"/>
      <c r="E15" s="49" t="s">
        <v>67</v>
      </c>
      <c r="F15" s="51"/>
      <c r="G15" s="48"/>
    </row>
    <row r="16" spans="2:7" ht="20.55" customHeight="1" x14ac:dyDescent="0.3">
      <c r="B16" s="8" t="s">
        <v>68</v>
      </c>
      <c r="C16" s="47" t="s">
        <v>69</v>
      </c>
      <c r="D16" s="48"/>
      <c r="E16" s="47" t="s">
        <v>70</v>
      </c>
      <c r="F16" s="51"/>
      <c r="G16" s="48"/>
    </row>
    <row r="17" spans="2:7" ht="49.5" customHeight="1" x14ac:dyDescent="0.3">
      <c r="B17" s="8" t="s">
        <v>71</v>
      </c>
      <c r="C17" s="49" t="s">
        <v>72</v>
      </c>
      <c r="D17" s="48"/>
      <c r="E17" s="49" t="s">
        <v>73</v>
      </c>
      <c r="F17" s="51"/>
      <c r="G17" s="48"/>
    </row>
    <row r="18" spans="2:7" ht="34.950000000000003" customHeight="1" x14ac:dyDescent="0.3">
      <c r="B18" s="8" t="s">
        <v>74</v>
      </c>
      <c r="C18" s="47" t="s">
        <v>75</v>
      </c>
      <c r="D18" s="48"/>
      <c r="E18" s="47" t="s">
        <v>76</v>
      </c>
      <c r="F18" s="51"/>
      <c r="G18" s="48"/>
    </row>
    <row r="19" spans="2:7" ht="34.950000000000003" customHeight="1" x14ac:dyDescent="0.3">
      <c r="B19" s="8" t="s">
        <v>77</v>
      </c>
      <c r="C19" s="49" t="s">
        <v>78</v>
      </c>
      <c r="D19" s="48"/>
      <c r="E19" s="49" t="s">
        <v>79</v>
      </c>
      <c r="F19" s="51"/>
      <c r="G19" s="48"/>
    </row>
    <row r="20" spans="2:7" ht="34.950000000000003" customHeight="1" x14ac:dyDescent="0.3">
      <c r="B20" s="8" t="s">
        <v>80</v>
      </c>
      <c r="C20" s="47" t="s">
        <v>81</v>
      </c>
      <c r="D20" s="48"/>
      <c r="E20" s="47" t="s">
        <v>82</v>
      </c>
      <c r="F20" s="51"/>
      <c r="G20" s="48"/>
    </row>
    <row r="21" spans="2:7" ht="49.5" customHeight="1" x14ac:dyDescent="0.3">
      <c r="B21" s="8" t="s">
        <v>83</v>
      </c>
      <c r="C21" s="49" t="s">
        <v>84</v>
      </c>
      <c r="D21" s="48"/>
      <c r="E21" s="49" t="s">
        <v>85</v>
      </c>
      <c r="F21" s="51"/>
      <c r="G21" s="48"/>
    </row>
    <row r="22" spans="2:7" ht="34.950000000000003" customHeight="1" x14ac:dyDescent="0.3">
      <c r="B22" s="8" t="s">
        <v>86</v>
      </c>
      <c r="C22" s="47" t="s">
        <v>87</v>
      </c>
      <c r="D22" s="48"/>
      <c r="E22" s="47" t="s">
        <v>88</v>
      </c>
      <c r="F22" s="51"/>
      <c r="G22" s="48"/>
    </row>
    <row r="23" spans="2:7" ht="34.950000000000003" customHeight="1" x14ac:dyDescent="0.3">
      <c r="B23" s="8" t="s">
        <v>89</v>
      </c>
      <c r="C23" s="49" t="s">
        <v>90</v>
      </c>
      <c r="D23" s="48"/>
      <c r="E23" s="49" t="s">
        <v>91</v>
      </c>
      <c r="F23" s="51"/>
      <c r="G23" s="48"/>
    </row>
    <row r="24" spans="2:7" ht="34.950000000000003" customHeight="1" x14ac:dyDescent="0.3">
      <c r="B24" s="8" t="s">
        <v>92</v>
      </c>
      <c r="C24" s="47" t="s">
        <v>93</v>
      </c>
      <c r="D24" s="48"/>
      <c r="E24" s="47" t="s">
        <v>94</v>
      </c>
      <c r="F24" s="51"/>
      <c r="G24" s="48"/>
    </row>
    <row r="25" spans="2:7" ht="34.950000000000003" customHeight="1" x14ac:dyDescent="0.3">
      <c r="B25" s="8" t="s">
        <v>95</v>
      </c>
      <c r="C25" s="49" t="s">
        <v>96</v>
      </c>
      <c r="D25" s="48"/>
      <c r="E25" s="49" t="s">
        <v>97</v>
      </c>
      <c r="F25" s="51"/>
      <c r="G25" s="48"/>
    </row>
    <row r="26" spans="2:7" ht="46.95" customHeight="1" x14ac:dyDescent="0.3">
      <c r="B26" s="8" t="s">
        <v>98</v>
      </c>
      <c r="C26" s="47" t="s">
        <v>99</v>
      </c>
      <c r="D26" s="48"/>
      <c r="E26" s="47" t="s">
        <v>100</v>
      </c>
      <c r="F26" s="51"/>
      <c r="G26" s="48"/>
    </row>
    <row r="27" spans="2:7" ht="7.95" customHeight="1" x14ac:dyDescent="0.3"/>
    <row r="28" spans="2:7" ht="10.050000000000001" customHeight="1" x14ac:dyDescent="0.3"/>
    <row r="29" spans="2:7" ht="25.35" customHeight="1" x14ac:dyDescent="0.3">
      <c r="B29" s="54" t="s">
        <v>101</v>
      </c>
      <c r="C29" s="53"/>
      <c r="D29" s="53"/>
      <c r="E29" s="53"/>
      <c r="F29" s="53"/>
      <c r="G29" s="53"/>
    </row>
    <row r="30" spans="2:7" ht="4.05" customHeight="1" x14ac:dyDescent="0.3"/>
    <row r="31" spans="2:7" ht="34.049999999999997" customHeight="1" x14ac:dyDescent="0.3">
      <c r="B31" s="52" t="s">
        <v>102</v>
      </c>
      <c r="C31" s="53"/>
      <c r="D31" s="53"/>
      <c r="E31" s="53"/>
      <c r="F31" s="53"/>
      <c r="G31" s="53"/>
    </row>
    <row r="32" spans="2:7" ht="46.95" customHeight="1" x14ac:dyDescent="0.3">
      <c r="B32" s="52" t="s">
        <v>103</v>
      </c>
      <c r="C32" s="53"/>
      <c r="D32" s="53"/>
      <c r="E32" s="53"/>
      <c r="F32" s="53"/>
      <c r="G32" s="53"/>
    </row>
    <row r="33" spans="2:7" ht="33" customHeight="1" x14ac:dyDescent="0.3">
      <c r="B33" s="52" t="s">
        <v>104</v>
      </c>
      <c r="C33" s="53"/>
      <c r="D33" s="53"/>
      <c r="E33" s="53"/>
      <c r="F33" s="53"/>
      <c r="G33" s="53"/>
    </row>
    <row r="34" spans="2:7" ht="19.5" customHeight="1" x14ac:dyDescent="0.3">
      <c r="B34" s="52" t="s">
        <v>105</v>
      </c>
      <c r="C34" s="53"/>
      <c r="D34" s="53"/>
      <c r="E34" s="53"/>
      <c r="F34" s="53"/>
      <c r="G34" s="53"/>
    </row>
    <row r="35" spans="2:7" ht="19.5" customHeight="1" x14ac:dyDescent="0.3">
      <c r="B35" s="52" t="s">
        <v>106</v>
      </c>
      <c r="C35" s="53"/>
      <c r="D35" s="53"/>
      <c r="E35" s="53"/>
      <c r="F35" s="53"/>
      <c r="G35" s="53"/>
    </row>
    <row r="36" spans="2:7" ht="19.5" customHeight="1" x14ac:dyDescent="0.3">
      <c r="B36" s="52" t="s">
        <v>107</v>
      </c>
      <c r="C36" s="53"/>
      <c r="D36" s="53"/>
      <c r="E36" s="53"/>
      <c r="F36" s="53"/>
      <c r="G36" s="53"/>
    </row>
    <row r="37" spans="2:7" ht="19.5" customHeight="1" x14ac:dyDescent="0.3">
      <c r="B37" s="52" t="s">
        <v>108</v>
      </c>
      <c r="C37" s="53"/>
      <c r="D37" s="53"/>
      <c r="E37" s="53"/>
      <c r="F37" s="53"/>
      <c r="G37" s="53"/>
    </row>
    <row r="38" spans="2:7" ht="4.05" customHeight="1" x14ac:dyDescent="0.3"/>
    <row r="39" spans="2:7" ht="10.050000000000001" customHeight="1" x14ac:dyDescent="0.3"/>
    <row r="40" spans="2:7" ht="25.35" customHeight="1" x14ac:dyDescent="0.3">
      <c r="B40" s="54" t="s">
        <v>109</v>
      </c>
      <c r="C40" s="53"/>
      <c r="D40" s="53"/>
      <c r="E40" s="53"/>
      <c r="F40" s="53"/>
      <c r="G40" s="53"/>
    </row>
    <row r="41" spans="2:7" ht="4.05" customHeight="1" x14ac:dyDescent="0.3"/>
    <row r="42" spans="2:7" ht="55.5" customHeight="1" x14ac:dyDescent="0.3">
      <c r="B42" s="9" t="s">
        <v>110</v>
      </c>
      <c r="C42" s="10" t="s">
        <v>111</v>
      </c>
      <c r="D42" s="11" t="s">
        <v>112</v>
      </c>
      <c r="E42" s="12" t="s">
        <v>113</v>
      </c>
      <c r="F42" s="11" t="s">
        <v>112</v>
      </c>
      <c r="G42" s="10" t="s">
        <v>114</v>
      </c>
    </row>
    <row r="43" spans="2:7" ht="6" customHeight="1" x14ac:dyDescent="0.3"/>
    <row r="44" spans="2:7" ht="55.5" customHeight="1" x14ac:dyDescent="0.3">
      <c r="B44" s="9" t="s">
        <v>115</v>
      </c>
      <c r="C44" s="10" t="s">
        <v>116</v>
      </c>
      <c r="D44" s="11" t="s">
        <v>112</v>
      </c>
      <c r="E44" s="10" t="s">
        <v>117</v>
      </c>
      <c r="F44" s="11" t="s">
        <v>112</v>
      </c>
      <c r="G44" s="10" t="s">
        <v>118</v>
      </c>
    </row>
    <row r="45" spans="2:7" ht="6" customHeight="1" x14ac:dyDescent="0.3"/>
    <row r="46" spans="2:7" ht="55.5" customHeight="1" x14ac:dyDescent="0.3">
      <c r="B46" s="9" t="s">
        <v>119</v>
      </c>
      <c r="C46" s="10" t="s">
        <v>120</v>
      </c>
      <c r="D46" s="11" t="s">
        <v>112</v>
      </c>
      <c r="E46" s="12" t="s">
        <v>113</v>
      </c>
      <c r="F46" s="11" t="s">
        <v>112</v>
      </c>
      <c r="G46" s="10" t="s">
        <v>121</v>
      </c>
    </row>
    <row r="47" spans="2:7" ht="6" customHeight="1" x14ac:dyDescent="0.3"/>
    <row r="48" spans="2:7" ht="33" customHeight="1" x14ac:dyDescent="0.3">
      <c r="B48" s="9" t="s">
        <v>122</v>
      </c>
      <c r="C48" s="63" t="s">
        <v>123</v>
      </c>
      <c r="D48" s="56"/>
      <c r="E48" s="56"/>
      <c r="F48" s="56"/>
      <c r="G48" s="57"/>
    </row>
    <row r="49" spans="2:7" ht="6" customHeight="1" x14ac:dyDescent="0.3"/>
    <row r="50" spans="2:7" ht="10.050000000000001" customHeight="1" x14ac:dyDescent="0.3"/>
    <row r="51" spans="2:7" ht="25.35" customHeight="1" x14ac:dyDescent="0.3">
      <c r="B51" s="54" t="s">
        <v>124</v>
      </c>
      <c r="C51" s="53"/>
      <c r="D51" s="53"/>
      <c r="E51" s="53"/>
      <c r="F51" s="53"/>
      <c r="G51" s="53"/>
    </row>
    <row r="52" spans="2:7" ht="4.05" customHeight="1" x14ac:dyDescent="0.3"/>
    <row r="53" spans="2:7" ht="19.5" customHeight="1" x14ac:dyDescent="0.3">
      <c r="B53" s="52" t="s">
        <v>125</v>
      </c>
      <c r="C53" s="53"/>
      <c r="D53" s="53"/>
      <c r="E53" s="53"/>
      <c r="F53" s="53"/>
      <c r="G53" s="53"/>
    </row>
    <row r="54" spans="2:7" ht="19.5" customHeight="1" x14ac:dyDescent="0.3">
      <c r="B54" s="52" t="s">
        <v>126</v>
      </c>
      <c r="C54" s="53"/>
      <c r="D54" s="53"/>
      <c r="E54" s="53"/>
      <c r="F54" s="53"/>
      <c r="G54" s="53"/>
    </row>
    <row r="55" spans="2:7" ht="19.5" customHeight="1" x14ac:dyDescent="0.3">
      <c r="B55" s="52" t="s">
        <v>127</v>
      </c>
      <c r="C55" s="53"/>
      <c r="D55" s="53"/>
      <c r="E55" s="53"/>
      <c r="F55" s="53"/>
      <c r="G55" s="53"/>
    </row>
    <row r="56" spans="2:7" ht="4.05" customHeight="1" x14ac:dyDescent="0.3"/>
    <row r="57" spans="2:7" ht="34.950000000000003" customHeight="1" x14ac:dyDescent="0.3">
      <c r="B57" s="2" t="s">
        <v>128</v>
      </c>
      <c r="C57" s="55" t="s">
        <v>129</v>
      </c>
      <c r="D57" s="56"/>
      <c r="E57" s="56"/>
      <c r="F57" s="56"/>
      <c r="G57" s="57"/>
    </row>
    <row r="58" spans="2:7" ht="6" customHeight="1" x14ac:dyDescent="0.3"/>
  </sheetData>
  <mergeCells count="47">
    <mergeCell ref="C57:G57"/>
    <mergeCell ref="B12:G12"/>
    <mergeCell ref="C18:D18"/>
    <mergeCell ref="E20:G20"/>
    <mergeCell ref="B55:G55"/>
    <mergeCell ref="E16:G16"/>
    <mergeCell ref="B51:G51"/>
    <mergeCell ref="C21:D21"/>
    <mergeCell ref="E22:G22"/>
    <mergeCell ref="B36:G36"/>
    <mergeCell ref="B32:G32"/>
    <mergeCell ref="B35:G35"/>
    <mergeCell ref="E18:G18"/>
    <mergeCell ref="E21:G21"/>
    <mergeCell ref="C17:D17"/>
    <mergeCell ref="C23:D23"/>
    <mergeCell ref="C48:G48"/>
    <mergeCell ref="B54:G54"/>
    <mergeCell ref="E24:G24"/>
    <mergeCell ref="E23:G23"/>
    <mergeCell ref="B53:G53"/>
    <mergeCell ref="E15:G15"/>
    <mergeCell ref="C26:D26"/>
    <mergeCell ref="B29:G29"/>
    <mergeCell ref="C20:D20"/>
    <mergeCell ref="B34:G34"/>
    <mergeCell ref="C16:D16"/>
    <mergeCell ref="B37:G37"/>
    <mergeCell ref="C25:D25"/>
    <mergeCell ref="E26:G26"/>
    <mergeCell ref="B40:G40"/>
    <mergeCell ref="C22:D22"/>
    <mergeCell ref="E25:G25"/>
    <mergeCell ref="B33:G33"/>
    <mergeCell ref="B31:G31"/>
    <mergeCell ref="C19:D19"/>
    <mergeCell ref="B2:G2"/>
    <mergeCell ref="E19:G19"/>
    <mergeCell ref="C24:D24"/>
    <mergeCell ref="C15:D15"/>
    <mergeCell ref="B3:F3"/>
    <mergeCell ref="C14:D14"/>
    <mergeCell ref="C9:G9"/>
    <mergeCell ref="B5:G5"/>
    <mergeCell ref="B7:G7"/>
    <mergeCell ref="E14:G14"/>
    <mergeCell ref="E17:G17"/>
  </mergeCells>
  <phoneticPr fontId="13"/>
  <hyperlinks>
    <hyperlink ref="G3" location="'00_表紙'!A1" display="◀ 目次へ戻る" xr:uid="{00000000-0004-0000-01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C8C8C"/>
    <pageSetUpPr fitToPage="1"/>
  </sheetPr>
  <dimension ref="B1:E69"/>
  <sheetViews>
    <sheetView showGridLines="0" workbookViewId="0">
      <pane ySplit="3" topLeftCell="A4" activePane="bottomLeft" state="frozen"/>
      <selection pane="bottomLeft"/>
    </sheetView>
  </sheetViews>
  <sheetFormatPr defaultRowHeight="14.4" x14ac:dyDescent="0.3"/>
  <cols>
    <col min="1" max="1" width="2.453125" customWidth="1"/>
    <col min="2" max="2" width="22" customWidth="1"/>
    <col min="3" max="3" width="36" customWidth="1"/>
    <col min="4" max="5" width="40" customWidth="1"/>
    <col min="6" max="6" width="2.453125" customWidth="1"/>
  </cols>
  <sheetData>
    <row r="1" spans="2:5" ht="7.95" customHeight="1" x14ac:dyDescent="0.3"/>
    <row r="2" spans="2:5" ht="36" customHeight="1" x14ac:dyDescent="0.3">
      <c r="B2" s="61" t="s">
        <v>130</v>
      </c>
      <c r="C2" s="53"/>
      <c r="D2" s="53"/>
      <c r="E2" s="53"/>
    </row>
    <row r="3" spans="2:5" ht="24" customHeight="1" x14ac:dyDescent="0.3">
      <c r="B3" s="59" t="s">
        <v>131</v>
      </c>
      <c r="C3" s="53"/>
      <c r="D3" s="53"/>
      <c r="E3" s="7" t="s">
        <v>57</v>
      </c>
    </row>
    <row r="4" spans="2:5" ht="7.95" customHeight="1" x14ac:dyDescent="0.3"/>
    <row r="5" spans="2:5" ht="25.35" customHeight="1" x14ac:dyDescent="0.3">
      <c r="B5" s="54" t="s">
        <v>132</v>
      </c>
      <c r="C5" s="53"/>
      <c r="D5" s="53"/>
      <c r="E5" s="53"/>
    </row>
    <row r="6" spans="2:5" ht="4.05" customHeight="1" x14ac:dyDescent="0.3"/>
    <row r="7" spans="2:5" ht="22.5" customHeight="1" x14ac:dyDescent="0.3">
      <c r="B7" s="3" t="s">
        <v>133</v>
      </c>
      <c r="C7" s="3" t="s">
        <v>134</v>
      </c>
      <c r="D7" s="3" t="s">
        <v>135</v>
      </c>
      <c r="E7" s="3" t="s">
        <v>17</v>
      </c>
    </row>
    <row r="8" spans="2:5" ht="64.05" customHeight="1" x14ac:dyDescent="0.3">
      <c r="B8" s="8" t="s">
        <v>136</v>
      </c>
      <c r="C8" s="5" t="s">
        <v>137</v>
      </c>
      <c r="D8" s="5" t="s">
        <v>138</v>
      </c>
      <c r="E8" s="5" t="s">
        <v>139</v>
      </c>
    </row>
    <row r="9" spans="2:5" ht="61.95" customHeight="1" x14ac:dyDescent="0.3">
      <c r="B9" s="8" t="s">
        <v>140</v>
      </c>
      <c r="C9" s="6" t="s">
        <v>141</v>
      </c>
      <c r="D9" s="6" t="s">
        <v>142</v>
      </c>
      <c r="E9" s="6" t="s">
        <v>143</v>
      </c>
    </row>
    <row r="10" spans="2:5" ht="49.5" customHeight="1" x14ac:dyDescent="0.3">
      <c r="B10" s="8" t="s">
        <v>144</v>
      </c>
      <c r="C10" s="5" t="s">
        <v>145</v>
      </c>
      <c r="D10" s="5" t="s">
        <v>146</v>
      </c>
      <c r="E10" s="5" t="s">
        <v>147</v>
      </c>
    </row>
    <row r="11" spans="2:5" ht="78.45" customHeight="1" x14ac:dyDescent="0.3">
      <c r="B11" s="8" t="s">
        <v>148</v>
      </c>
      <c r="C11" s="6" t="s">
        <v>149</v>
      </c>
      <c r="D11" s="6" t="s">
        <v>150</v>
      </c>
      <c r="E11" s="6" t="s">
        <v>151</v>
      </c>
    </row>
    <row r="12" spans="2:5" ht="64.05" customHeight="1" x14ac:dyDescent="0.3">
      <c r="B12" s="8" t="s">
        <v>152</v>
      </c>
      <c r="C12" s="5" t="s">
        <v>153</v>
      </c>
      <c r="D12" s="5" t="s">
        <v>154</v>
      </c>
      <c r="E12" s="5" t="s">
        <v>155</v>
      </c>
    </row>
    <row r="13" spans="2:5" ht="7.95" customHeight="1" x14ac:dyDescent="0.3"/>
    <row r="14" spans="2:5" ht="10.050000000000001" customHeight="1" x14ac:dyDescent="0.3"/>
    <row r="15" spans="2:5" ht="25.35" customHeight="1" x14ac:dyDescent="0.3">
      <c r="B15" s="54" t="s">
        <v>156</v>
      </c>
      <c r="C15" s="53"/>
      <c r="D15" s="53"/>
      <c r="E15" s="53"/>
    </row>
    <row r="16" spans="2:5" ht="4.05" customHeight="1" x14ac:dyDescent="0.3"/>
    <row r="17" spans="2:5" ht="22.5" customHeight="1" x14ac:dyDescent="0.3">
      <c r="B17" s="3" t="s">
        <v>157</v>
      </c>
      <c r="C17" s="3" t="s">
        <v>158</v>
      </c>
      <c r="D17" s="3" t="s">
        <v>159</v>
      </c>
      <c r="E17" s="3" t="s">
        <v>160</v>
      </c>
    </row>
    <row r="18" spans="2:5" ht="34.950000000000003" customHeight="1" x14ac:dyDescent="0.3">
      <c r="B18" s="8" t="s">
        <v>161</v>
      </c>
      <c r="C18" s="5" t="s">
        <v>162</v>
      </c>
      <c r="D18" s="5" t="s">
        <v>163</v>
      </c>
      <c r="E18" s="5" t="s">
        <v>164</v>
      </c>
    </row>
    <row r="19" spans="2:5" ht="20.55" customHeight="1" x14ac:dyDescent="0.3">
      <c r="B19" s="8" t="s">
        <v>165</v>
      </c>
      <c r="C19" s="6" t="s">
        <v>166</v>
      </c>
      <c r="D19" s="6" t="s">
        <v>167</v>
      </c>
      <c r="E19" s="6" t="s">
        <v>168</v>
      </c>
    </row>
    <row r="20" spans="2:5" ht="34.950000000000003" customHeight="1" x14ac:dyDescent="0.3">
      <c r="B20" s="8" t="s">
        <v>169</v>
      </c>
      <c r="C20" s="5" t="s">
        <v>170</v>
      </c>
      <c r="D20" s="5" t="s">
        <v>171</v>
      </c>
      <c r="E20" s="5" t="s">
        <v>172</v>
      </c>
    </row>
    <row r="21" spans="2:5" ht="34.950000000000003" customHeight="1" x14ac:dyDescent="0.3">
      <c r="B21" s="8" t="s">
        <v>173</v>
      </c>
      <c r="C21" s="6" t="s">
        <v>174</v>
      </c>
      <c r="D21" s="6" t="s">
        <v>175</v>
      </c>
      <c r="E21" s="6" t="s">
        <v>176</v>
      </c>
    </row>
    <row r="22" spans="2:5" ht="49.5" customHeight="1" x14ac:dyDescent="0.3">
      <c r="B22" s="8" t="s">
        <v>177</v>
      </c>
      <c r="C22" s="5" t="s">
        <v>178</v>
      </c>
      <c r="D22" s="5" t="s">
        <v>179</v>
      </c>
      <c r="E22" s="5" t="s">
        <v>180</v>
      </c>
    </row>
    <row r="23" spans="2:5" ht="33" customHeight="1" x14ac:dyDescent="0.3">
      <c r="B23" s="8" t="s">
        <v>181</v>
      </c>
      <c r="C23" s="6" t="s">
        <v>182</v>
      </c>
      <c r="D23" s="6" t="s">
        <v>183</v>
      </c>
      <c r="E23" s="6" t="s">
        <v>184</v>
      </c>
    </row>
    <row r="24" spans="2:5" ht="34.950000000000003" customHeight="1" x14ac:dyDescent="0.3">
      <c r="B24" s="8" t="s">
        <v>185</v>
      </c>
      <c r="C24" s="5" t="s">
        <v>186</v>
      </c>
      <c r="D24" s="5" t="s">
        <v>187</v>
      </c>
      <c r="E24" s="5" t="s">
        <v>188</v>
      </c>
    </row>
    <row r="25" spans="2:5" ht="34.950000000000003" customHeight="1" x14ac:dyDescent="0.3">
      <c r="B25" s="8" t="s">
        <v>189</v>
      </c>
      <c r="C25" s="6" t="s">
        <v>190</v>
      </c>
      <c r="D25" s="6" t="s">
        <v>191</v>
      </c>
      <c r="E25" s="6" t="s">
        <v>192</v>
      </c>
    </row>
    <row r="26" spans="2:5" ht="34.950000000000003" customHeight="1" x14ac:dyDescent="0.3">
      <c r="B26" s="8" t="s">
        <v>193</v>
      </c>
      <c r="C26" s="5" t="s">
        <v>194</v>
      </c>
      <c r="D26" s="5" t="s">
        <v>195</v>
      </c>
      <c r="E26" s="5" t="s">
        <v>196</v>
      </c>
    </row>
    <row r="27" spans="2:5" ht="34.950000000000003" customHeight="1" x14ac:dyDescent="0.3">
      <c r="B27" s="8" t="s">
        <v>197</v>
      </c>
      <c r="C27" s="6" t="s">
        <v>198</v>
      </c>
      <c r="D27" s="6" t="s">
        <v>199</v>
      </c>
      <c r="E27" s="6" t="s">
        <v>200</v>
      </c>
    </row>
    <row r="28" spans="2:5" ht="34.950000000000003" customHeight="1" x14ac:dyDescent="0.3">
      <c r="B28" s="8" t="s">
        <v>201</v>
      </c>
      <c r="C28" s="5" t="s">
        <v>202</v>
      </c>
      <c r="D28" s="5" t="s">
        <v>203</v>
      </c>
      <c r="E28" s="5" t="s">
        <v>204</v>
      </c>
    </row>
    <row r="29" spans="2:5" ht="49.5" customHeight="1" x14ac:dyDescent="0.3">
      <c r="B29" s="8" t="s">
        <v>205</v>
      </c>
      <c r="C29" s="6" t="s">
        <v>206</v>
      </c>
      <c r="D29" s="6" t="s">
        <v>207</v>
      </c>
      <c r="E29" s="6" t="s">
        <v>208</v>
      </c>
    </row>
    <row r="30" spans="2:5" ht="34.950000000000003" customHeight="1" x14ac:dyDescent="0.3">
      <c r="B30" s="8" t="s">
        <v>209</v>
      </c>
      <c r="C30" s="5" t="s">
        <v>210</v>
      </c>
      <c r="D30" s="5" t="s">
        <v>211</v>
      </c>
      <c r="E30" s="5" t="s">
        <v>212</v>
      </c>
    </row>
    <row r="31" spans="2:5" ht="34.950000000000003" customHeight="1" x14ac:dyDescent="0.3">
      <c r="B31" s="8" t="s">
        <v>213</v>
      </c>
      <c r="C31" s="6" t="s">
        <v>214</v>
      </c>
      <c r="D31" s="6" t="s">
        <v>215</v>
      </c>
      <c r="E31" s="6" t="s">
        <v>216</v>
      </c>
    </row>
    <row r="32" spans="2:5" ht="49.5" customHeight="1" x14ac:dyDescent="0.3">
      <c r="B32" s="8" t="s">
        <v>217</v>
      </c>
      <c r="C32" s="5" t="s">
        <v>218</v>
      </c>
      <c r="D32" s="5" t="s">
        <v>219</v>
      </c>
      <c r="E32" s="5" t="s">
        <v>220</v>
      </c>
    </row>
    <row r="33" spans="2:5" ht="20.55" customHeight="1" x14ac:dyDescent="0.3">
      <c r="B33" s="8" t="s">
        <v>221</v>
      </c>
      <c r="C33" s="6" t="s">
        <v>222</v>
      </c>
      <c r="D33" s="6" t="s">
        <v>223</v>
      </c>
      <c r="E33" s="6" t="s">
        <v>224</v>
      </c>
    </row>
    <row r="34" spans="2:5" ht="34.950000000000003" customHeight="1" x14ac:dyDescent="0.3">
      <c r="B34" s="8" t="s">
        <v>225</v>
      </c>
      <c r="C34" s="5" t="s">
        <v>226</v>
      </c>
      <c r="D34" s="5" t="s">
        <v>227</v>
      </c>
      <c r="E34" s="5" t="s">
        <v>228</v>
      </c>
    </row>
    <row r="35" spans="2:5" ht="20.55" customHeight="1" x14ac:dyDescent="0.3">
      <c r="B35" s="8" t="s">
        <v>229</v>
      </c>
      <c r="C35" s="6" t="s">
        <v>230</v>
      </c>
      <c r="D35" s="6" t="s">
        <v>231</v>
      </c>
      <c r="E35" s="6" t="s">
        <v>232</v>
      </c>
    </row>
    <row r="36" spans="2:5" ht="49.5" customHeight="1" x14ac:dyDescent="0.3">
      <c r="B36" s="8" t="s">
        <v>233</v>
      </c>
      <c r="C36" s="5" t="s">
        <v>234</v>
      </c>
      <c r="D36" s="5" t="s">
        <v>235</v>
      </c>
      <c r="E36" s="5" t="s">
        <v>236</v>
      </c>
    </row>
    <row r="37" spans="2:5" ht="33" customHeight="1" x14ac:dyDescent="0.3">
      <c r="B37" s="8" t="s">
        <v>237</v>
      </c>
      <c r="C37" s="6" t="s">
        <v>238</v>
      </c>
      <c r="D37" s="6" t="s">
        <v>239</v>
      </c>
      <c r="E37" s="6" t="s">
        <v>240</v>
      </c>
    </row>
    <row r="38" spans="2:5" ht="33" customHeight="1" x14ac:dyDescent="0.3">
      <c r="B38" s="8" t="s">
        <v>241</v>
      </c>
      <c r="C38" s="5" t="s">
        <v>242</v>
      </c>
      <c r="D38" s="5" t="s">
        <v>243</v>
      </c>
      <c r="E38" s="5" t="s">
        <v>244</v>
      </c>
    </row>
    <row r="39" spans="2:5" ht="34.950000000000003" customHeight="1" x14ac:dyDescent="0.3">
      <c r="B39" s="8" t="s">
        <v>245</v>
      </c>
      <c r="C39" s="6" t="s">
        <v>246</v>
      </c>
      <c r="D39" s="6" t="s">
        <v>247</v>
      </c>
      <c r="E39" s="6" t="s">
        <v>248</v>
      </c>
    </row>
    <row r="40" spans="2:5" ht="7.95" customHeight="1" x14ac:dyDescent="0.3"/>
    <row r="41" spans="2:5" ht="10.050000000000001" customHeight="1" x14ac:dyDescent="0.3"/>
    <row r="42" spans="2:5" ht="25.35" customHeight="1" x14ac:dyDescent="0.3">
      <c r="B42" s="54" t="s">
        <v>249</v>
      </c>
      <c r="C42" s="53"/>
      <c r="D42" s="53"/>
      <c r="E42" s="53"/>
    </row>
    <row r="43" spans="2:5" ht="4.05" customHeight="1" x14ac:dyDescent="0.3"/>
    <row r="44" spans="2:5" ht="4.05" customHeight="1" x14ac:dyDescent="0.3"/>
    <row r="45" spans="2:5" ht="21.9" customHeight="1" x14ac:dyDescent="0.3">
      <c r="B45" s="64" t="s">
        <v>250</v>
      </c>
      <c r="C45" s="65"/>
      <c r="D45" s="65"/>
      <c r="E45" s="65"/>
    </row>
    <row r="46" spans="2:5" ht="3" customHeight="1" x14ac:dyDescent="0.3"/>
    <row r="47" spans="2:5" ht="34.950000000000003" customHeight="1" x14ac:dyDescent="0.3">
      <c r="B47" s="62" t="s">
        <v>251</v>
      </c>
      <c r="C47" s="53"/>
      <c r="D47" s="53"/>
      <c r="E47" s="53"/>
    </row>
    <row r="48" spans="2:5" ht="4.05" customHeight="1" x14ac:dyDescent="0.3"/>
    <row r="49" spans="2:5" ht="4.05" customHeight="1" x14ac:dyDescent="0.3"/>
    <row r="50" spans="2:5" ht="21.9" customHeight="1" x14ac:dyDescent="0.3">
      <c r="B50" s="64" t="s">
        <v>252</v>
      </c>
      <c r="C50" s="65"/>
      <c r="D50" s="65"/>
      <c r="E50" s="65"/>
    </row>
    <row r="51" spans="2:5" ht="3" customHeight="1" x14ac:dyDescent="0.3"/>
    <row r="52" spans="2:5" ht="46.95" customHeight="1" x14ac:dyDescent="0.3">
      <c r="B52" s="62" t="s">
        <v>253</v>
      </c>
      <c r="C52" s="53"/>
      <c r="D52" s="53"/>
      <c r="E52" s="53"/>
    </row>
    <row r="53" spans="2:5" ht="4.05" customHeight="1" x14ac:dyDescent="0.3"/>
    <row r="54" spans="2:5" ht="4.05" customHeight="1" x14ac:dyDescent="0.3"/>
    <row r="55" spans="2:5" ht="21.9" customHeight="1" x14ac:dyDescent="0.3">
      <c r="B55" s="64" t="s">
        <v>254</v>
      </c>
      <c r="C55" s="65"/>
      <c r="D55" s="65"/>
      <c r="E55" s="65"/>
    </row>
    <row r="56" spans="2:5" ht="3" customHeight="1" x14ac:dyDescent="0.3"/>
    <row r="57" spans="2:5" ht="64.05" customHeight="1" x14ac:dyDescent="0.3">
      <c r="B57" s="62" t="s">
        <v>255</v>
      </c>
      <c r="C57" s="53"/>
      <c r="D57" s="53"/>
      <c r="E57" s="53"/>
    </row>
    <row r="58" spans="2:5" ht="4.05" customHeight="1" x14ac:dyDescent="0.3"/>
    <row r="59" spans="2:5" ht="49.5" customHeight="1" x14ac:dyDescent="0.3">
      <c r="B59" s="2" t="s">
        <v>17</v>
      </c>
      <c r="C59" s="55" t="s">
        <v>256</v>
      </c>
      <c r="D59" s="56"/>
      <c r="E59" s="57"/>
    </row>
    <row r="60" spans="2:5" ht="6" customHeight="1" x14ac:dyDescent="0.3"/>
    <row r="61" spans="2:5" ht="10.050000000000001" customHeight="1" x14ac:dyDescent="0.3"/>
    <row r="62" spans="2:5" ht="25.35" customHeight="1" x14ac:dyDescent="0.3">
      <c r="B62" s="54" t="s">
        <v>257</v>
      </c>
      <c r="C62" s="53"/>
      <c r="D62" s="53"/>
      <c r="E62" s="53"/>
    </row>
    <row r="63" spans="2:5" ht="4.05" customHeight="1" x14ac:dyDescent="0.3"/>
    <row r="64" spans="2:5" ht="48.45" customHeight="1" x14ac:dyDescent="0.3">
      <c r="B64" s="52" t="s">
        <v>258</v>
      </c>
      <c r="C64" s="53"/>
      <c r="D64" s="53"/>
      <c r="E64" s="53"/>
    </row>
    <row r="65" spans="2:5" ht="34.049999999999997" customHeight="1" x14ac:dyDescent="0.3">
      <c r="B65" s="52" t="s">
        <v>259</v>
      </c>
      <c r="C65" s="53"/>
      <c r="D65" s="53"/>
      <c r="E65" s="53"/>
    </row>
    <row r="66" spans="2:5" ht="34.049999999999997" customHeight="1" x14ac:dyDescent="0.3">
      <c r="B66" s="52" t="s">
        <v>260</v>
      </c>
      <c r="C66" s="53"/>
      <c r="D66" s="53"/>
      <c r="E66" s="53"/>
    </row>
    <row r="67" spans="2:5" ht="34.049999999999997" customHeight="1" x14ac:dyDescent="0.3">
      <c r="B67" s="52" t="s">
        <v>261</v>
      </c>
      <c r="C67" s="53"/>
      <c r="D67" s="53"/>
      <c r="E67" s="53"/>
    </row>
    <row r="68" spans="2:5" ht="34.049999999999997" customHeight="1" x14ac:dyDescent="0.3">
      <c r="B68" s="52" t="s">
        <v>262</v>
      </c>
      <c r="C68" s="53"/>
      <c r="D68" s="53"/>
      <c r="E68" s="53"/>
    </row>
    <row r="69" spans="2:5" ht="4.05" customHeight="1" x14ac:dyDescent="0.3"/>
  </sheetData>
  <mergeCells count="18">
    <mergeCell ref="B2:E2"/>
    <mergeCell ref="C59:E59"/>
    <mergeCell ref="B42:E42"/>
    <mergeCell ref="B66:E66"/>
    <mergeCell ref="B67:E67"/>
    <mergeCell ref="B68:E68"/>
    <mergeCell ref="B62:E62"/>
    <mergeCell ref="B64:E64"/>
    <mergeCell ref="B15:E15"/>
    <mergeCell ref="B55:E55"/>
    <mergeCell ref="B47:E47"/>
    <mergeCell ref="B45:E45"/>
    <mergeCell ref="B3:D3"/>
    <mergeCell ref="B57:E57"/>
    <mergeCell ref="B50:E50"/>
    <mergeCell ref="B65:E65"/>
    <mergeCell ref="B52:E52"/>
    <mergeCell ref="B5:E5"/>
  </mergeCells>
  <phoneticPr fontId="13"/>
  <hyperlinks>
    <hyperlink ref="E3" location="'00_表紙'!A1" display="◀ 目次へ戻る" xr:uid="{00000000-0004-0000-02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BFBF"/>
    <pageSetUpPr fitToPage="1"/>
  </sheetPr>
  <dimension ref="B1:E84"/>
  <sheetViews>
    <sheetView showGridLines="0" workbookViewId="0">
      <pane ySplit="3" topLeftCell="A4" activePane="bottomLeft" state="frozen"/>
      <selection pane="bottomLeft"/>
    </sheetView>
  </sheetViews>
  <sheetFormatPr defaultRowHeight="14.4" x14ac:dyDescent="0.3"/>
  <cols>
    <col min="1" max="1" width="2.453125" customWidth="1"/>
    <col min="2" max="2" width="22" customWidth="1"/>
    <col min="3" max="3" width="34" customWidth="1"/>
    <col min="4" max="5" width="36" customWidth="1"/>
    <col min="6" max="6" width="2.453125" customWidth="1"/>
  </cols>
  <sheetData>
    <row r="1" spans="2:5" ht="7.95" customHeight="1" x14ac:dyDescent="0.3"/>
    <row r="2" spans="2:5" ht="36" customHeight="1" x14ac:dyDescent="0.3">
      <c r="B2" s="61" t="s">
        <v>263</v>
      </c>
      <c r="C2" s="53"/>
      <c r="D2" s="53"/>
      <c r="E2" s="53"/>
    </row>
    <row r="3" spans="2:5" ht="24" customHeight="1" x14ac:dyDescent="0.3">
      <c r="B3" s="59" t="s">
        <v>264</v>
      </c>
      <c r="C3" s="53"/>
      <c r="D3" s="53"/>
      <c r="E3" s="7" t="s">
        <v>57</v>
      </c>
    </row>
    <row r="4" spans="2:5" ht="7.95" customHeight="1" x14ac:dyDescent="0.3"/>
    <row r="5" spans="2:5" ht="25.35" customHeight="1" x14ac:dyDescent="0.3">
      <c r="B5" s="54" t="s">
        <v>265</v>
      </c>
      <c r="C5" s="53"/>
      <c r="D5" s="53"/>
      <c r="E5" s="53"/>
    </row>
    <row r="6" spans="2:5" ht="4.05" customHeight="1" x14ac:dyDescent="0.3"/>
    <row r="7" spans="2:5" ht="24" customHeight="1" x14ac:dyDescent="0.3">
      <c r="B7" s="2" t="s">
        <v>17</v>
      </c>
      <c r="C7" s="55" t="s">
        <v>266</v>
      </c>
      <c r="D7" s="56"/>
      <c r="E7" s="57"/>
    </row>
    <row r="8" spans="2:5" ht="6" customHeight="1" x14ac:dyDescent="0.3"/>
    <row r="9" spans="2:5" ht="22.5" customHeight="1" x14ac:dyDescent="0.3">
      <c r="B9" s="3" t="s">
        <v>267</v>
      </c>
      <c r="C9" s="3" t="s">
        <v>268</v>
      </c>
      <c r="D9" s="3" t="s">
        <v>269</v>
      </c>
      <c r="E9" s="3" t="s">
        <v>270</v>
      </c>
    </row>
    <row r="10" spans="2:5" ht="34.950000000000003" customHeight="1" x14ac:dyDescent="0.3">
      <c r="B10" s="8" t="s">
        <v>271</v>
      </c>
      <c r="C10" s="5" t="s">
        <v>272</v>
      </c>
      <c r="D10" s="5" t="s">
        <v>273</v>
      </c>
      <c r="E10" s="5" t="s">
        <v>274</v>
      </c>
    </row>
    <row r="11" spans="2:5" ht="20.55" customHeight="1" x14ac:dyDescent="0.3">
      <c r="B11" s="8" t="s">
        <v>17</v>
      </c>
      <c r="C11" s="6" t="s">
        <v>275</v>
      </c>
      <c r="D11" s="6" t="s">
        <v>87</v>
      </c>
      <c r="E11" s="6" t="s">
        <v>276</v>
      </c>
    </row>
    <row r="12" spans="2:5" ht="49.5" customHeight="1" x14ac:dyDescent="0.3">
      <c r="B12" s="8" t="s">
        <v>277</v>
      </c>
      <c r="C12" s="5" t="s">
        <v>278</v>
      </c>
      <c r="D12" s="5" t="s">
        <v>279</v>
      </c>
      <c r="E12" s="5" t="s">
        <v>280</v>
      </c>
    </row>
    <row r="13" spans="2:5" ht="34.950000000000003" customHeight="1" x14ac:dyDescent="0.3">
      <c r="B13" s="8" t="s">
        <v>281</v>
      </c>
      <c r="C13" s="6" t="s">
        <v>282</v>
      </c>
      <c r="D13" s="6" t="s">
        <v>283</v>
      </c>
      <c r="E13" s="6" t="s">
        <v>284</v>
      </c>
    </row>
    <row r="14" spans="2:5" ht="34.950000000000003" customHeight="1" x14ac:dyDescent="0.3">
      <c r="B14" s="8" t="s">
        <v>285</v>
      </c>
      <c r="C14" s="5" t="s">
        <v>286</v>
      </c>
      <c r="D14" s="5" t="s">
        <v>287</v>
      </c>
      <c r="E14" s="5" t="s">
        <v>288</v>
      </c>
    </row>
    <row r="15" spans="2:5" ht="34.950000000000003" customHeight="1" x14ac:dyDescent="0.3">
      <c r="B15" s="8" t="s">
        <v>289</v>
      </c>
      <c r="C15" s="6" t="s">
        <v>290</v>
      </c>
      <c r="D15" s="6" t="s">
        <v>291</v>
      </c>
      <c r="E15" s="6" t="s">
        <v>292</v>
      </c>
    </row>
    <row r="16" spans="2:5" ht="34.950000000000003" customHeight="1" x14ac:dyDescent="0.3">
      <c r="B16" s="8" t="s">
        <v>293</v>
      </c>
      <c r="C16" s="5" t="s">
        <v>294</v>
      </c>
      <c r="D16" s="5" t="s">
        <v>295</v>
      </c>
      <c r="E16" s="5" t="s">
        <v>296</v>
      </c>
    </row>
    <row r="17" spans="2:5" ht="34.950000000000003" customHeight="1" x14ac:dyDescent="0.3">
      <c r="B17" s="8" t="s">
        <v>297</v>
      </c>
      <c r="C17" s="6" t="s">
        <v>298</v>
      </c>
      <c r="D17" s="6" t="s">
        <v>299</v>
      </c>
      <c r="E17" s="6" t="s">
        <v>300</v>
      </c>
    </row>
    <row r="18" spans="2:5" ht="46.95" customHeight="1" x14ac:dyDescent="0.3">
      <c r="B18" s="8" t="s">
        <v>301</v>
      </c>
      <c r="C18" s="5" t="s">
        <v>302</v>
      </c>
      <c r="D18" s="5" t="s">
        <v>303</v>
      </c>
      <c r="E18" s="5" t="s">
        <v>304</v>
      </c>
    </row>
    <row r="19" spans="2:5" ht="34.950000000000003" customHeight="1" x14ac:dyDescent="0.3">
      <c r="B19" s="8" t="s">
        <v>305</v>
      </c>
      <c r="C19" s="6" t="s">
        <v>306</v>
      </c>
      <c r="D19" s="6" t="s">
        <v>307</v>
      </c>
      <c r="E19" s="6" t="s">
        <v>308</v>
      </c>
    </row>
    <row r="20" spans="2:5" ht="34.950000000000003" customHeight="1" x14ac:dyDescent="0.3">
      <c r="B20" s="8" t="s">
        <v>309</v>
      </c>
      <c r="C20" s="5" t="s">
        <v>310</v>
      </c>
      <c r="D20" s="5" t="s">
        <v>311</v>
      </c>
      <c r="E20" s="5" t="s">
        <v>312</v>
      </c>
    </row>
    <row r="21" spans="2:5" ht="20.55" customHeight="1" x14ac:dyDescent="0.3">
      <c r="B21" s="8" t="s">
        <v>313</v>
      </c>
      <c r="C21" s="6" t="s">
        <v>314</v>
      </c>
      <c r="D21" s="6" t="s">
        <v>315</v>
      </c>
      <c r="E21" s="6" t="s">
        <v>316</v>
      </c>
    </row>
    <row r="22" spans="2:5" ht="34.950000000000003" customHeight="1" x14ac:dyDescent="0.3">
      <c r="B22" s="8" t="s">
        <v>317</v>
      </c>
      <c r="C22" s="5" t="s">
        <v>318</v>
      </c>
      <c r="D22" s="5" t="s">
        <v>319</v>
      </c>
      <c r="E22" s="5" t="s">
        <v>320</v>
      </c>
    </row>
    <row r="23" spans="2:5" ht="7.95" customHeight="1" x14ac:dyDescent="0.3"/>
    <row r="24" spans="2:5" ht="34.950000000000003" customHeight="1" x14ac:dyDescent="0.3">
      <c r="B24" s="2" t="s">
        <v>321</v>
      </c>
      <c r="C24" s="55" t="s">
        <v>322</v>
      </c>
      <c r="D24" s="56"/>
      <c r="E24" s="57"/>
    </row>
    <row r="25" spans="2:5" ht="6" customHeight="1" x14ac:dyDescent="0.3"/>
    <row r="26" spans="2:5" ht="10.050000000000001" customHeight="1" x14ac:dyDescent="0.3"/>
    <row r="27" spans="2:5" ht="25.35" customHeight="1" x14ac:dyDescent="0.3">
      <c r="B27" s="54" t="s">
        <v>323</v>
      </c>
      <c r="C27" s="53"/>
      <c r="D27" s="53"/>
      <c r="E27" s="53"/>
    </row>
    <row r="28" spans="2:5" ht="4.05" customHeight="1" x14ac:dyDescent="0.3"/>
    <row r="29" spans="2:5" ht="22.5" customHeight="1" x14ac:dyDescent="0.3">
      <c r="B29" s="3" t="s">
        <v>324</v>
      </c>
      <c r="C29" s="58" t="s">
        <v>325</v>
      </c>
      <c r="D29" s="48"/>
      <c r="E29" s="3" t="s">
        <v>326</v>
      </c>
    </row>
    <row r="30" spans="2:5" ht="34.950000000000003" customHeight="1" x14ac:dyDescent="0.3">
      <c r="B30" s="8" t="s">
        <v>327</v>
      </c>
      <c r="C30" s="49" t="s">
        <v>328</v>
      </c>
      <c r="D30" s="48"/>
      <c r="E30" s="5" t="s">
        <v>329</v>
      </c>
    </row>
    <row r="31" spans="2:5" ht="20.55" customHeight="1" x14ac:dyDescent="0.3">
      <c r="B31" s="8" t="s">
        <v>330</v>
      </c>
      <c r="C31" s="47" t="s">
        <v>331</v>
      </c>
      <c r="D31" s="48"/>
      <c r="E31" s="6" t="s">
        <v>332</v>
      </c>
    </row>
    <row r="32" spans="2:5" ht="20.55" customHeight="1" x14ac:dyDescent="0.3">
      <c r="B32" s="8" t="s">
        <v>333</v>
      </c>
      <c r="C32" s="49" t="s">
        <v>334</v>
      </c>
      <c r="D32" s="48"/>
      <c r="E32" s="5" t="s">
        <v>335</v>
      </c>
    </row>
    <row r="33" spans="2:5" ht="34.950000000000003" customHeight="1" x14ac:dyDescent="0.3">
      <c r="B33" s="8" t="s">
        <v>336</v>
      </c>
      <c r="C33" s="47" t="s">
        <v>337</v>
      </c>
      <c r="D33" s="48"/>
      <c r="E33" s="6" t="s">
        <v>338</v>
      </c>
    </row>
    <row r="34" spans="2:5" ht="7.95" customHeight="1" x14ac:dyDescent="0.3"/>
    <row r="35" spans="2:5" ht="10.050000000000001" customHeight="1" x14ac:dyDescent="0.3"/>
    <row r="36" spans="2:5" ht="25.35" customHeight="1" x14ac:dyDescent="0.3">
      <c r="B36" s="54" t="s">
        <v>339</v>
      </c>
      <c r="C36" s="53"/>
      <c r="D36" s="53"/>
      <c r="E36" s="53"/>
    </row>
    <row r="37" spans="2:5" ht="4.05" customHeight="1" x14ac:dyDescent="0.3"/>
    <row r="38" spans="2:5" ht="61.95" customHeight="1" x14ac:dyDescent="0.3">
      <c r="B38" s="62" t="s">
        <v>340</v>
      </c>
      <c r="C38" s="53"/>
      <c r="D38" s="53"/>
      <c r="E38" s="53"/>
    </row>
    <row r="39" spans="2:5" ht="4.05" customHeight="1" x14ac:dyDescent="0.3"/>
    <row r="40" spans="2:5" ht="24" customHeight="1" x14ac:dyDescent="0.3">
      <c r="B40" s="2" t="s">
        <v>17</v>
      </c>
      <c r="C40" s="55" t="s">
        <v>341</v>
      </c>
      <c r="D40" s="56"/>
      <c r="E40" s="57"/>
    </row>
    <row r="41" spans="2:5" ht="6" customHeight="1" x14ac:dyDescent="0.3"/>
    <row r="42" spans="2:5" ht="10.050000000000001" customHeight="1" x14ac:dyDescent="0.3"/>
    <row r="43" spans="2:5" ht="25.35" customHeight="1" x14ac:dyDescent="0.3">
      <c r="B43" s="54" t="s">
        <v>342</v>
      </c>
      <c r="C43" s="53"/>
      <c r="D43" s="53"/>
      <c r="E43" s="53"/>
    </row>
    <row r="44" spans="2:5" ht="4.05" customHeight="1" x14ac:dyDescent="0.3"/>
    <row r="45" spans="2:5" ht="22.5" customHeight="1" x14ac:dyDescent="0.3">
      <c r="B45" s="58" t="s">
        <v>343</v>
      </c>
      <c r="C45" s="48"/>
      <c r="D45" s="58" t="s">
        <v>344</v>
      </c>
      <c r="E45" s="48"/>
    </row>
    <row r="46" spans="2:5" ht="64.05" customHeight="1" x14ac:dyDescent="0.3">
      <c r="B46" s="49" t="s">
        <v>345</v>
      </c>
      <c r="C46" s="48"/>
      <c r="D46" s="49" t="s">
        <v>346</v>
      </c>
      <c r="E46" s="48"/>
    </row>
    <row r="47" spans="2:5" ht="7.95" customHeight="1" x14ac:dyDescent="0.3"/>
    <row r="48" spans="2:5" ht="10.050000000000001" customHeight="1" x14ac:dyDescent="0.3"/>
    <row r="49" spans="2:5" ht="25.35" customHeight="1" x14ac:dyDescent="0.3">
      <c r="B49" s="54" t="s">
        <v>347</v>
      </c>
      <c r="C49" s="53"/>
      <c r="D49" s="53"/>
      <c r="E49" s="53"/>
    </row>
    <row r="50" spans="2:5" ht="4.05" customHeight="1" x14ac:dyDescent="0.3"/>
    <row r="51" spans="2:5" ht="22.5" customHeight="1" x14ac:dyDescent="0.3">
      <c r="B51" s="3" t="s">
        <v>348</v>
      </c>
      <c r="C51" s="58" t="s">
        <v>21</v>
      </c>
      <c r="D51" s="48"/>
      <c r="E51" s="3" t="s">
        <v>17</v>
      </c>
    </row>
    <row r="52" spans="2:5" ht="20.55" customHeight="1" x14ac:dyDescent="0.3">
      <c r="B52" s="8" t="s">
        <v>349</v>
      </c>
      <c r="C52" s="49" t="s">
        <v>350</v>
      </c>
      <c r="D52" s="48"/>
      <c r="E52" s="5" t="s">
        <v>351</v>
      </c>
    </row>
    <row r="53" spans="2:5" ht="20.55" customHeight="1" x14ac:dyDescent="0.3">
      <c r="B53" s="8" t="s">
        <v>6</v>
      </c>
      <c r="C53" s="47" t="s">
        <v>352</v>
      </c>
      <c r="D53" s="48"/>
      <c r="E53" s="6" t="s">
        <v>353</v>
      </c>
    </row>
    <row r="54" spans="2:5" ht="20.55" customHeight="1" x14ac:dyDescent="0.3">
      <c r="B54" s="8" t="s">
        <v>354</v>
      </c>
      <c r="C54" s="49" t="s">
        <v>355</v>
      </c>
      <c r="D54" s="48"/>
      <c r="E54" s="5" t="s">
        <v>356</v>
      </c>
    </row>
    <row r="55" spans="2:5" ht="20.55" customHeight="1" x14ac:dyDescent="0.3">
      <c r="B55" s="8" t="s">
        <v>357</v>
      </c>
      <c r="C55" s="47" t="s">
        <v>358</v>
      </c>
      <c r="D55" s="48"/>
      <c r="E55" s="6" t="s">
        <v>359</v>
      </c>
    </row>
    <row r="56" spans="2:5" ht="20.55" customHeight="1" x14ac:dyDescent="0.3">
      <c r="B56" s="8" t="s">
        <v>360</v>
      </c>
      <c r="C56" s="49" t="s">
        <v>361</v>
      </c>
      <c r="D56" s="48"/>
      <c r="E56" s="5" t="s">
        <v>362</v>
      </c>
    </row>
    <row r="57" spans="2:5" ht="20.55" customHeight="1" x14ac:dyDescent="0.3">
      <c r="B57" s="8" t="s">
        <v>363</v>
      </c>
      <c r="C57" s="47" t="s">
        <v>364</v>
      </c>
      <c r="D57" s="48"/>
      <c r="E57" s="6" t="s">
        <v>365</v>
      </c>
    </row>
    <row r="58" spans="2:5" ht="34.950000000000003" customHeight="1" x14ac:dyDescent="0.3">
      <c r="B58" s="8" t="s">
        <v>366</v>
      </c>
      <c r="C58" s="49" t="s">
        <v>367</v>
      </c>
      <c r="D58" s="48"/>
      <c r="E58" s="5" t="s">
        <v>368</v>
      </c>
    </row>
    <row r="59" spans="2:5" ht="34.950000000000003" customHeight="1" x14ac:dyDescent="0.3">
      <c r="B59" s="8" t="s">
        <v>369</v>
      </c>
      <c r="C59" s="47" t="s">
        <v>370</v>
      </c>
      <c r="D59" s="48"/>
      <c r="E59" s="6" t="s">
        <v>371</v>
      </c>
    </row>
    <row r="60" spans="2:5" ht="20.55" customHeight="1" x14ac:dyDescent="0.3">
      <c r="B60" s="8" t="s">
        <v>372</v>
      </c>
      <c r="C60" s="49" t="s">
        <v>373</v>
      </c>
      <c r="D60" s="48"/>
      <c r="E60" s="5" t="s">
        <v>374</v>
      </c>
    </row>
    <row r="61" spans="2:5" ht="7.95" customHeight="1" x14ac:dyDescent="0.3"/>
    <row r="62" spans="2:5" ht="10.050000000000001" customHeight="1" x14ac:dyDescent="0.3"/>
    <row r="63" spans="2:5" ht="25.35" customHeight="1" x14ac:dyDescent="0.3">
      <c r="B63" s="54" t="s">
        <v>375</v>
      </c>
      <c r="C63" s="53"/>
      <c r="D63" s="53"/>
      <c r="E63" s="53"/>
    </row>
    <row r="64" spans="2:5" ht="4.05" customHeight="1" x14ac:dyDescent="0.3"/>
    <row r="65" spans="2:5" ht="22.5" customHeight="1" x14ac:dyDescent="0.3">
      <c r="B65" s="3" t="s">
        <v>376</v>
      </c>
      <c r="C65" s="3" t="s">
        <v>377</v>
      </c>
      <c r="D65" s="58" t="s">
        <v>378</v>
      </c>
      <c r="E65" s="48"/>
    </row>
    <row r="66" spans="2:5" ht="34.950000000000003" customHeight="1" x14ac:dyDescent="0.3">
      <c r="B66" s="8" t="s">
        <v>379</v>
      </c>
      <c r="C66" s="5" t="s">
        <v>380</v>
      </c>
      <c r="D66" s="49" t="s">
        <v>381</v>
      </c>
      <c r="E66" s="48"/>
    </row>
    <row r="67" spans="2:5" ht="34.950000000000003" customHeight="1" x14ac:dyDescent="0.3">
      <c r="B67" s="8" t="s">
        <v>382</v>
      </c>
      <c r="C67" s="6" t="s">
        <v>383</v>
      </c>
      <c r="D67" s="47" t="s">
        <v>384</v>
      </c>
      <c r="E67" s="48"/>
    </row>
    <row r="68" spans="2:5" ht="49.5" customHeight="1" x14ac:dyDescent="0.3">
      <c r="B68" s="8" t="s">
        <v>385</v>
      </c>
      <c r="C68" s="5" t="s">
        <v>386</v>
      </c>
      <c r="D68" s="49" t="s">
        <v>387</v>
      </c>
      <c r="E68" s="48"/>
    </row>
    <row r="69" spans="2:5" ht="20.55" customHeight="1" x14ac:dyDescent="0.3">
      <c r="B69" s="8" t="s">
        <v>388</v>
      </c>
      <c r="C69" s="6" t="s">
        <v>389</v>
      </c>
      <c r="D69" s="47" t="s">
        <v>390</v>
      </c>
      <c r="E69" s="48"/>
    </row>
    <row r="70" spans="2:5" ht="20.55" customHeight="1" x14ac:dyDescent="0.3">
      <c r="B70" s="8" t="s">
        <v>391</v>
      </c>
      <c r="C70" s="5" t="s">
        <v>392</v>
      </c>
      <c r="D70" s="49" t="s">
        <v>393</v>
      </c>
      <c r="E70" s="48"/>
    </row>
    <row r="71" spans="2:5" ht="34.950000000000003" customHeight="1" x14ac:dyDescent="0.3">
      <c r="B71" s="8" t="s">
        <v>394</v>
      </c>
      <c r="C71" s="6" t="s">
        <v>395</v>
      </c>
      <c r="D71" s="47" t="s">
        <v>396</v>
      </c>
      <c r="E71" s="48"/>
    </row>
    <row r="72" spans="2:5" ht="34.950000000000003" customHeight="1" x14ac:dyDescent="0.3">
      <c r="B72" s="8" t="s">
        <v>397</v>
      </c>
      <c r="C72" s="5" t="s">
        <v>398</v>
      </c>
      <c r="D72" s="49" t="s">
        <v>399</v>
      </c>
      <c r="E72" s="48"/>
    </row>
    <row r="73" spans="2:5" ht="34.950000000000003" customHeight="1" x14ac:dyDescent="0.3">
      <c r="B73" s="8" t="s">
        <v>400</v>
      </c>
      <c r="C73" s="6" t="s">
        <v>401</v>
      </c>
      <c r="D73" s="47" t="s">
        <v>402</v>
      </c>
      <c r="E73" s="48"/>
    </row>
    <row r="74" spans="2:5" ht="7.95" customHeight="1" x14ac:dyDescent="0.3"/>
    <row r="75" spans="2:5" ht="10.050000000000001" customHeight="1" x14ac:dyDescent="0.3"/>
    <row r="76" spans="2:5" ht="25.35" customHeight="1" x14ac:dyDescent="0.3">
      <c r="B76" s="54" t="s">
        <v>403</v>
      </c>
      <c r="C76" s="53"/>
      <c r="D76" s="53"/>
      <c r="E76" s="53"/>
    </row>
    <row r="77" spans="2:5" ht="4.05" customHeight="1" x14ac:dyDescent="0.3"/>
    <row r="78" spans="2:5" ht="19.5" customHeight="1" x14ac:dyDescent="0.3">
      <c r="B78" s="52" t="s">
        <v>404</v>
      </c>
      <c r="C78" s="53"/>
      <c r="D78" s="53"/>
      <c r="E78" s="53"/>
    </row>
    <row r="79" spans="2:5" ht="19.5" customHeight="1" x14ac:dyDescent="0.3">
      <c r="B79" s="52" t="s">
        <v>405</v>
      </c>
      <c r="C79" s="53"/>
      <c r="D79" s="53"/>
      <c r="E79" s="53"/>
    </row>
    <row r="80" spans="2:5" ht="34.049999999999997" customHeight="1" x14ac:dyDescent="0.3">
      <c r="B80" s="52" t="s">
        <v>406</v>
      </c>
      <c r="C80" s="53"/>
      <c r="D80" s="53"/>
      <c r="E80" s="53"/>
    </row>
    <row r="81" spans="2:5" ht="19.5" customHeight="1" x14ac:dyDescent="0.3">
      <c r="B81" s="52" t="s">
        <v>407</v>
      </c>
      <c r="C81" s="53"/>
      <c r="D81" s="53"/>
      <c r="E81" s="53"/>
    </row>
    <row r="82" spans="2:5" ht="19.5" customHeight="1" x14ac:dyDescent="0.3">
      <c r="B82" s="52" t="s">
        <v>408</v>
      </c>
      <c r="C82" s="53"/>
      <c r="D82" s="53"/>
      <c r="E82" s="53"/>
    </row>
    <row r="83" spans="2:5" ht="19.5" customHeight="1" x14ac:dyDescent="0.3">
      <c r="B83" s="52" t="s">
        <v>409</v>
      </c>
      <c r="C83" s="53"/>
      <c r="D83" s="53"/>
      <c r="E83" s="53"/>
    </row>
    <row r="84" spans="2:5" ht="4.05" customHeight="1" x14ac:dyDescent="0.3"/>
  </sheetData>
  <mergeCells count="47">
    <mergeCell ref="B2:E2"/>
    <mergeCell ref="C52:D52"/>
    <mergeCell ref="D71:E71"/>
    <mergeCell ref="C24:E24"/>
    <mergeCell ref="B3:D3"/>
    <mergeCell ref="C32:D32"/>
    <mergeCell ref="D68:E68"/>
    <mergeCell ref="D67:E67"/>
    <mergeCell ref="B38:E38"/>
    <mergeCell ref="B45:C45"/>
    <mergeCell ref="C57:D57"/>
    <mergeCell ref="C53:D53"/>
    <mergeCell ref="B27:E27"/>
    <mergeCell ref="D72:E72"/>
    <mergeCell ref="C60:D60"/>
    <mergeCell ref="B43:E43"/>
    <mergeCell ref="C51:D51"/>
    <mergeCell ref="B5:E5"/>
    <mergeCell ref="B80:E80"/>
    <mergeCell ref="D65:E65"/>
    <mergeCell ref="D45:E45"/>
    <mergeCell ref="B36:E36"/>
    <mergeCell ref="B76:E76"/>
    <mergeCell ref="B63:E63"/>
    <mergeCell ref="B79:E79"/>
    <mergeCell ref="C29:D29"/>
    <mergeCell ref="C54:D54"/>
    <mergeCell ref="C55:D55"/>
    <mergeCell ref="D70:E70"/>
    <mergeCell ref="C7:E7"/>
    <mergeCell ref="C31:D31"/>
    <mergeCell ref="D66:E66"/>
    <mergeCell ref="C56:D56"/>
    <mergeCell ref="D69:E69"/>
    <mergeCell ref="C30:D30"/>
    <mergeCell ref="B49:E49"/>
    <mergeCell ref="B83:E83"/>
    <mergeCell ref="C33:D33"/>
    <mergeCell ref="C40:E40"/>
    <mergeCell ref="B46:C46"/>
    <mergeCell ref="C58:D58"/>
    <mergeCell ref="D46:E46"/>
    <mergeCell ref="B81:E81"/>
    <mergeCell ref="C59:D59"/>
    <mergeCell ref="D73:E73"/>
    <mergeCell ref="B78:E78"/>
    <mergeCell ref="B82:E82"/>
  </mergeCells>
  <phoneticPr fontId="13"/>
  <hyperlinks>
    <hyperlink ref="E3" location="'00_表紙'!A1" display="◀ 目次へ戻る" xr:uid="{00000000-0004-0000-03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1F1F"/>
    <pageSetUpPr fitToPage="1"/>
  </sheetPr>
  <dimension ref="B1:F62"/>
  <sheetViews>
    <sheetView showGridLines="0" workbookViewId="0">
      <pane ySplit="3" topLeftCell="A4" activePane="bottomLeft" state="frozen"/>
      <selection pane="bottomLeft"/>
    </sheetView>
  </sheetViews>
  <sheetFormatPr defaultRowHeight="14.4" x14ac:dyDescent="0.3"/>
  <cols>
    <col min="1" max="1" width="2.453125" customWidth="1"/>
    <col min="2" max="2" width="22" customWidth="1"/>
    <col min="3" max="3" width="30" customWidth="1"/>
    <col min="4" max="4" width="26" customWidth="1"/>
    <col min="5" max="6" width="30" customWidth="1"/>
    <col min="7" max="7" width="2.453125" customWidth="1"/>
  </cols>
  <sheetData>
    <row r="1" spans="2:6" ht="7.95" customHeight="1" x14ac:dyDescent="0.3"/>
    <row r="2" spans="2:6" ht="36" customHeight="1" x14ac:dyDescent="0.3">
      <c r="B2" s="61" t="s">
        <v>410</v>
      </c>
      <c r="C2" s="53"/>
      <c r="D2" s="53"/>
      <c r="E2" s="53"/>
      <c r="F2" s="53"/>
    </row>
    <row r="3" spans="2:6" ht="24" customHeight="1" x14ac:dyDescent="0.3">
      <c r="B3" s="59" t="s">
        <v>411</v>
      </c>
      <c r="C3" s="53"/>
      <c r="D3" s="53"/>
      <c r="E3" s="53"/>
      <c r="F3" s="7" t="s">
        <v>57</v>
      </c>
    </row>
    <row r="4" spans="2:6" ht="7.95" customHeight="1" x14ac:dyDescent="0.3"/>
    <row r="5" spans="2:6" ht="25.35" customHeight="1" x14ac:dyDescent="0.3">
      <c r="B5" s="54" t="s">
        <v>412</v>
      </c>
      <c r="C5" s="53"/>
      <c r="D5" s="53"/>
      <c r="E5" s="53"/>
      <c r="F5" s="53"/>
    </row>
    <row r="6" spans="2:6" ht="4.05" customHeight="1" x14ac:dyDescent="0.3"/>
    <row r="7" spans="2:6" ht="46.95" customHeight="1" x14ac:dyDescent="0.3">
      <c r="B7" s="62" t="s">
        <v>413</v>
      </c>
      <c r="C7" s="53"/>
      <c r="D7" s="53"/>
      <c r="E7" s="53"/>
      <c r="F7" s="53"/>
    </row>
    <row r="8" spans="2:6" ht="4.05" customHeight="1" x14ac:dyDescent="0.3"/>
    <row r="9" spans="2:6" ht="24" customHeight="1" x14ac:dyDescent="0.3">
      <c r="B9" s="2" t="s">
        <v>17</v>
      </c>
      <c r="C9" s="55" t="s">
        <v>414</v>
      </c>
      <c r="D9" s="56"/>
      <c r="E9" s="56"/>
      <c r="F9" s="57"/>
    </row>
    <row r="10" spans="2:6" ht="6" customHeight="1" x14ac:dyDescent="0.3"/>
    <row r="11" spans="2:6" ht="10.050000000000001" customHeight="1" x14ac:dyDescent="0.3"/>
    <row r="12" spans="2:6" ht="25.35" customHeight="1" x14ac:dyDescent="0.3">
      <c r="B12" s="54" t="s">
        <v>415</v>
      </c>
      <c r="C12" s="53"/>
      <c r="D12" s="53"/>
      <c r="E12" s="53"/>
      <c r="F12" s="53"/>
    </row>
    <row r="13" spans="2:6" ht="4.05" customHeight="1" x14ac:dyDescent="0.3"/>
    <row r="14" spans="2:6" ht="22.5" customHeight="1" x14ac:dyDescent="0.3">
      <c r="B14" s="3" t="s">
        <v>324</v>
      </c>
      <c r="C14" s="3" t="s">
        <v>325</v>
      </c>
      <c r="D14" s="3" t="s">
        <v>416</v>
      </c>
      <c r="E14" s="3" t="s">
        <v>417</v>
      </c>
      <c r="F14" s="3" t="s">
        <v>418</v>
      </c>
    </row>
    <row r="15" spans="2:6" ht="64.05" customHeight="1" x14ac:dyDescent="0.3">
      <c r="B15" s="8" t="s">
        <v>419</v>
      </c>
      <c r="C15" s="5" t="s">
        <v>420</v>
      </c>
      <c r="D15" s="5" t="s">
        <v>421</v>
      </c>
      <c r="E15" s="5" t="s">
        <v>422</v>
      </c>
      <c r="F15" s="5" t="s">
        <v>423</v>
      </c>
    </row>
    <row r="16" spans="2:6" ht="49.5" customHeight="1" x14ac:dyDescent="0.3">
      <c r="B16" s="8" t="s">
        <v>424</v>
      </c>
      <c r="C16" s="6" t="s">
        <v>425</v>
      </c>
      <c r="D16" s="6" t="s">
        <v>426</v>
      </c>
      <c r="E16" s="6" t="s">
        <v>427</v>
      </c>
      <c r="F16" s="6" t="s">
        <v>428</v>
      </c>
    </row>
    <row r="17" spans="2:6" ht="7.95" customHeight="1" x14ac:dyDescent="0.3"/>
    <row r="18" spans="2:6" ht="10.050000000000001" customHeight="1" x14ac:dyDescent="0.3"/>
    <row r="19" spans="2:6" ht="25.35" customHeight="1" x14ac:dyDescent="0.3">
      <c r="B19" s="54" t="s">
        <v>429</v>
      </c>
      <c r="C19" s="53"/>
      <c r="D19" s="53"/>
      <c r="E19" s="53"/>
      <c r="F19" s="53"/>
    </row>
    <row r="20" spans="2:6" ht="4.05" customHeight="1" x14ac:dyDescent="0.3"/>
    <row r="21" spans="2:6" ht="22.5" customHeight="1" x14ac:dyDescent="0.3">
      <c r="B21" s="3" t="s">
        <v>430</v>
      </c>
      <c r="C21" s="58" t="s">
        <v>431</v>
      </c>
      <c r="D21" s="48"/>
      <c r="E21" s="3" t="s">
        <v>432</v>
      </c>
      <c r="F21" s="3" t="s">
        <v>128</v>
      </c>
    </row>
    <row r="22" spans="2:6" ht="46.95" customHeight="1" x14ac:dyDescent="0.3">
      <c r="B22" s="8" t="s">
        <v>433</v>
      </c>
      <c r="C22" s="49" t="s">
        <v>434</v>
      </c>
      <c r="D22" s="48"/>
      <c r="E22" s="5" t="s">
        <v>435</v>
      </c>
      <c r="F22" s="5" t="s">
        <v>436</v>
      </c>
    </row>
    <row r="23" spans="2:6" ht="34.950000000000003" customHeight="1" x14ac:dyDescent="0.3">
      <c r="B23" s="8" t="s">
        <v>437</v>
      </c>
      <c r="C23" s="47" t="s">
        <v>438</v>
      </c>
      <c r="D23" s="48"/>
      <c r="E23" s="6" t="s">
        <v>439</v>
      </c>
      <c r="F23" s="6" t="s">
        <v>440</v>
      </c>
    </row>
    <row r="24" spans="2:6" ht="34.950000000000003" customHeight="1" x14ac:dyDescent="0.3">
      <c r="B24" s="8" t="s">
        <v>441</v>
      </c>
      <c r="C24" s="49" t="s">
        <v>442</v>
      </c>
      <c r="D24" s="48"/>
      <c r="E24" s="5" t="s">
        <v>443</v>
      </c>
      <c r="F24" s="5" t="s">
        <v>444</v>
      </c>
    </row>
    <row r="25" spans="2:6" ht="7.95" customHeight="1" x14ac:dyDescent="0.3"/>
    <row r="26" spans="2:6" ht="34.950000000000003" customHeight="1" x14ac:dyDescent="0.3">
      <c r="B26" s="62" t="s">
        <v>445</v>
      </c>
      <c r="C26" s="53"/>
      <c r="D26" s="53"/>
      <c r="E26" s="53"/>
      <c r="F26" s="53"/>
    </row>
    <row r="27" spans="2:6" ht="4.05" customHeight="1" x14ac:dyDescent="0.3"/>
    <row r="28" spans="2:6" ht="10.050000000000001" customHeight="1" x14ac:dyDescent="0.3"/>
    <row r="29" spans="2:6" ht="25.35" customHeight="1" x14ac:dyDescent="0.3">
      <c r="B29" s="54" t="s">
        <v>446</v>
      </c>
      <c r="C29" s="53"/>
      <c r="D29" s="53"/>
      <c r="E29" s="53"/>
      <c r="F29" s="53"/>
    </row>
    <row r="30" spans="2:6" ht="4.05" customHeight="1" x14ac:dyDescent="0.3"/>
    <row r="31" spans="2:6" ht="22.5" customHeight="1" x14ac:dyDescent="0.3">
      <c r="B31" s="3" t="s">
        <v>447</v>
      </c>
      <c r="C31" s="3" t="s">
        <v>448</v>
      </c>
      <c r="D31" s="58" t="s">
        <v>449</v>
      </c>
      <c r="E31" s="48"/>
      <c r="F31" s="3" t="s">
        <v>17</v>
      </c>
    </row>
    <row r="32" spans="2:6" ht="49.5" customHeight="1" x14ac:dyDescent="0.3">
      <c r="B32" s="8" t="s">
        <v>450</v>
      </c>
      <c r="C32" s="5" t="s">
        <v>451</v>
      </c>
      <c r="D32" s="49" t="s">
        <v>452</v>
      </c>
      <c r="E32" s="48"/>
      <c r="F32" s="5" t="s">
        <v>453</v>
      </c>
    </row>
    <row r="33" spans="2:6" ht="34.950000000000003" customHeight="1" x14ac:dyDescent="0.3">
      <c r="B33" s="8" t="s">
        <v>454</v>
      </c>
      <c r="C33" s="6" t="s">
        <v>455</v>
      </c>
      <c r="D33" s="47" t="s">
        <v>456</v>
      </c>
      <c r="E33" s="48"/>
      <c r="F33" s="6" t="s">
        <v>457</v>
      </c>
    </row>
    <row r="34" spans="2:6" ht="34.950000000000003" customHeight="1" x14ac:dyDescent="0.3">
      <c r="B34" s="8" t="s">
        <v>458</v>
      </c>
      <c r="C34" s="5" t="s">
        <v>459</v>
      </c>
      <c r="D34" s="49" t="s">
        <v>460</v>
      </c>
      <c r="E34" s="48"/>
      <c r="F34" s="5" t="s">
        <v>461</v>
      </c>
    </row>
    <row r="35" spans="2:6" ht="34.950000000000003" customHeight="1" x14ac:dyDescent="0.3">
      <c r="B35" s="8" t="s">
        <v>462</v>
      </c>
      <c r="C35" s="6" t="s">
        <v>463</v>
      </c>
      <c r="D35" s="47" t="s">
        <v>464</v>
      </c>
      <c r="E35" s="48"/>
      <c r="F35" s="6" t="s">
        <v>465</v>
      </c>
    </row>
    <row r="36" spans="2:6" ht="34.950000000000003" customHeight="1" x14ac:dyDescent="0.3">
      <c r="B36" s="8" t="s">
        <v>466</v>
      </c>
      <c r="C36" s="5" t="s">
        <v>467</v>
      </c>
      <c r="D36" s="49" t="s">
        <v>468</v>
      </c>
      <c r="E36" s="48"/>
      <c r="F36" s="5" t="s">
        <v>469</v>
      </c>
    </row>
    <row r="37" spans="2:6" ht="7.95" customHeight="1" x14ac:dyDescent="0.3"/>
    <row r="38" spans="2:6" ht="46.95" customHeight="1" x14ac:dyDescent="0.3">
      <c r="B38" s="2" t="s">
        <v>470</v>
      </c>
      <c r="C38" s="55" t="s">
        <v>471</v>
      </c>
      <c r="D38" s="56"/>
      <c r="E38" s="56"/>
      <c r="F38" s="57"/>
    </row>
    <row r="39" spans="2:6" ht="6" customHeight="1" x14ac:dyDescent="0.3"/>
    <row r="40" spans="2:6" ht="10.050000000000001" customHeight="1" x14ac:dyDescent="0.3"/>
    <row r="41" spans="2:6" ht="25.35" customHeight="1" x14ac:dyDescent="0.3">
      <c r="B41" s="54" t="s">
        <v>472</v>
      </c>
      <c r="C41" s="53"/>
      <c r="D41" s="53"/>
      <c r="E41" s="53"/>
      <c r="F41" s="53"/>
    </row>
    <row r="42" spans="2:6" ht="4.05" customHeight="1" x14ac:dyDescent="0.3"/>
    <row r="43" spans="2:6" ht="22.5" customHeight="1" x14ac:dyDescent="0.3">
      <c r="B43" s="3" t="s">
        <v>473</v>
      </c>
      <c r="C43" s="58" t="s">
        <v>474</v>
      </c>
      <c r="D43" s="48"/>
      <c r="E43" s="58" t="s">
        <v>475</v>
      </c>
      <c r="F43" s="48"/>
    </row>
    <row r="44" spans="2:6" ht="34.950000000000003" customHeight="1" x14ac:dyDescent="0.3">
      <c r="B44" s="8" t="s">
        <v>476</v>
      </c>
      <c r="C44" s="49" t="s">
        <v>477</v>
      </c>
      <c r="D44" s="48"/>
      <c r="E44" s="49" t="s">
        <v>478</v>
      </c>
      <c r="F44" s="48"/>
    </row>
    <row r="45" spans="2:6" ht="34.950000000000003" customHeight="1" x14ac:dyDescent="0.3">
      <c r="B45" s="8" t="s">
        <v>479</v>
      </c>
      <c r="C45" s="47" t="s">
        <v>480</v>
      </c>
      <c r="D45" s="48"/>
      <c r="E45" s="47" t="s">
        <v>481</v>
      </c>
      <c r="F45" s="48"/>
    </row>
    <row r="46" spans="2:6" ht="34.950000000000003" customHeight="1" x14ac:dyDescent="0.3">
      <c r="B46" s="8" t="s">
        <v>482</v>
      </c>
      <c r="C46" s="49" t="s">
        <v>483</v>
      </c>
      <c r="D46" s="48"/>
      <c r="E46" s="49" t="s">
        <v>484</v>
      </c>
      <c r="F46" s="48"/>
    </row>
    <row r="47" spans="2:6" ht="34.950000000000003" customHeight="1" x14ac:dyDescent="0.3">
      <c r="B47" s="8" t="s">
        <v>485</v>
      </c>
      <c r="C47" s="47" t="s">
        <v>486</v>
      </c>
      <c r="D47" s="48"/>
      <c r="E47" s="47" t="s">
        <v>487</v>
      </c>
      <c r="F47" s="48"/>
    </row>
    <row r="48" spans="2:6" ht="34.950000000000003" customHeight="1" x14ac:dyDescent="0.3">
      <c r="B48" s="8" t="s">
        <v>488</v>
      </c>
      <c r="C48" s="49" t="s">
        <v>489</v>
      </c>
      <c r="D48" s="48"/>
      <c r="E48" s="49" t="s">
        <v>490</v>
      </c>
      <c r="F48" s="48"/>
    </row>
    <row r="49" spans="2:6" ht="20.55" customHeight="1" x14ac:dyDescent="0.3">
      <c r="B49" s="8" t="s">
        <v>491</v>
      </c>
      <c r="C49" s="47" t="s">
        <v>492</v>
      </c>
      <c r="D49" s="48"/>
      <c r="E49" s="47" t="s">
        <v>493</v>
      </c>
      <c r="F49" s="48"/>
    </row>
    <row r="50" spans="2:6" ht="33" customHeight="1" x14ac:dyDescent="0.3">
      <c r="B50" s="8" t="s">
        <v>494</v>
      </c>
      <c r="C50" s="49" t="s">
        <v>495</v>
      </c>
      <c r="D50" s="48"/>
      <c r="E50" s="49" t="s">
        <v>496</v>
      </c>
      <c r="F50" s="48"/>
    </row>
    <row r="51" spans="2:6" ht="7.95" customHeight="1" x14ac:dyDescent="0.3"/>
    <row r="52" spans="2:6" ht="10.050000000000001" customHeight="1" x14ac:dyDescent="0.3"/>
    <row r="53" spans="2:6" ht="25.35" customHeight="1" x14ac:dyDescent="0.3">
      <c r="B53" s="54" t="s">
        <v>497</v>
      </c>
      <c r="C53" s="53"/>
      <c r="D53" s="53"/>
      <c r="E53" s="53"/>
      <c r="F53" s="53"/>
    </row>
    <row r="54" spans="2:6" ht="4.05" customHeight="1" x14ac:dyDescent="0.3"/>
    <row r="55" spans="2:6" ht="19.5" customHeight="1" x14ac:dyDescent="0.3">
      <c r="B55" s="52" t="s">
        <v>498</v>
      </c>
      <c r="C55" s="53"/>
      <c r="D55" s="53"/>
      <c r="E55" s="53"/>
      <c r="F55" s="53"/>
    </row>
    <row r="56" spans="2:6" ht="19.5" customHeight="1" x14ac:dyDescent="0.3">
      <c r="B56" s="52" t="s">
        <v>499</v>
      </c>
      <c r="C56" s="53"/>
      <c r="D56" s="53"/>
      <c r="E56" s="53"/>
      <c r="F56" s="53"/>
    </row>
    <row r="57" spans="2:6" ht="33" customHeight="1" x14ac:dyDescent="0.3">
      <c r="B57" s="52" t="s">
        <v>500</v>
      </c>
      <c r="C57" s="53"/>
      <c r="D57" s="53"/>
      <c r="E57" s="53"/>
      <c r="F57" s="53"/>
    </row>
    <row r="58" spans="2:6" ht="19.5" customHeight="1" x14ac:dyDescent="0.3">
      <c r="B58" s="52" t="s">
        <v>501</v>
      </c>
      <c r="C58" s="53"/>
      <c r="D58" s="53"/>
      <c r="E58" s="53"/>
      <c r="F58" s="53"/>
    </row>
    <row r="59" spans="2:6" ht="19.5" customHeight="1" x14ac:dyDescent="0.3">
      <c r="B59" s="52" t="s">
        <v>502</v>
      </c>
      <c r="C59" s="53"/>
      <c r="D59" s="53"/>
      <c r="E59" s="53"/>
      <c r="F59" s="53"/>
    </row>
    <row r="60" spans="2:6" ht="19.5" customHeight="1" x14ac:dyDescent="0.3">
      <c r="B60" s="52" t="s">
        <v>503</v>
      </c>
      <c r="C60" s="53"/>
      <c r="D60" s="53"/>
      <c r="E60" s="53"/>
      <c r="F60" s="53"/>
    </row>
    <row r="61" spans="2:6" ht="19.5" customHeight="1" x14ac:dyDescent="0.3">
      <c r="B61" s="52" t="s">
        <v>504</v>
      </c>
      <c r="C61" s="53"/>
      <c r="D61" s="53"/>
      <c r="E61" s="53"/>
      <c r="F61" s="53"/>
    </row>
    <row r="62" spans="2:6" ht="4.05" customHeight="1" x14ac:dyDescent="0.3"/>
  </sheetData>
  <mergeCells count="45">
    <mergeCell ref="B61:F61"/>
    <mergeCell ref="B57:F57"/>
    <mergeCell ref="B53:F53"/>
    <mergeCell ref="C43:D43"/>
    <mergeCell ref="C49:D49"/>
    <mergeCell ref="C46:D46"/>
    <mergeCell ref="E46:F46"/>
    <mergeCell ref="E49:F49"/>
    <mergeCell ref="E45:F45"/>
    <mergeCell ref="C48:D48"/>
    <mergeCell ref="B55:F55"/>
    <mergeCell ref="E47:F47"/>
    <mergeCell ref="B2:F2"/>
    <mergeCell ref="B60:F60"/>
    <mergeCell ref="C50:D50"/>
    <mergeCell ref="D32:E32"/>
    <mergeCell ref="C44:D44"/>
    <mergeCell ref="B3:E3"/>
    <mergeCell ref="C22:D22"/>
    <mergeCell ref="B29:F29"/>
    <mergeCell ref="C21:D21"/>
    <mergeCell ref="B19:F19"/>
    <mergeCell ref="C23:D23"/>
    <mergeCell ref="C9:F9"/>
    <mergeCell ref="D33:E33"/>
    <mergeCell ref="B5:F5"/>
    <mergeCell ref="B26:F26"/>
    <mergeCell ref="B41:F41"/>
    <mergeCell ref="B59:F59"/>
    <mergeCell ref="C38:F38"/>
    <mergeCell ref="C45:D45"/>
    <mergeCell ref="D36:E36"/>
    <mergeCell ref="D31:E31"/>
    <mergeCell ref="E48:F48"/>
    <mergeCell ref="B56:F56"/>
    <mergeCell ref="B58:F58"/>
    <mergeCell ref="E44:F44"/>
    <mergeCell ref="C47:D47"/>
    <mergeCell ref="D35:E35"/>
    <mergeCell ref="E43:F43"/>
    <mergeCell ref="E50:F50"/>
    <mergeCell ref="B7:F7"/>
    <mergeCell ref="C24:D24"/>
    <mergeCell ref="D34:E34"/>
    <mergeCell ref="B12:F12"/>
  </mergeCells>
  <phoneticPr fontId="13"/>
  <hyperlinks>
    <hyperlink ref="F3" location="'00_表紙'!A1" display="◀ 目次へ戻る" xr:uid="{00000000-0004-0000-04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95959"/>
    <pageSetUpPr fitToPage="1"/>
  </sheetPr>
  <dimension ref="B1:K43"/>
  <sheetViews>
    <sheetView showGridLines="0" workbookViewId="0">
      <pane ySplit="7" topLeftCell="A8" activePane="bottomLeft" state="frozen"/>
      <selection pane="bottomLeft"/>
    </sheetView>
  </sheetViews>
  <sheetFormatPr defaultRowHeight="14.4" x14ac:dyDescent="0.3"/>
  <cols>
    <col min="1" max="1" width="2.453125" customWidth="1"/>
    <col min="2" max="2" width="11" customWidth="1"/>
    <col min="3" max="3" width="18" customWidth="1"/>
    <col min="4" max="4" width="16" customWidth="1"/>
    <col min="5" max="5" width="17" customWidth="1"/>
    <col min="6" max="8" width="12" customWidth="1"/>
    <col min="9" max="10" width="11" customWidth="1"/>
    <col min="11" max="11" width="20" customWidth="1"/>
    <col min="12" max="12" width="2.453125" customWidth="1"/>
  </cols>
  <sheetData>
    <row r="1" spans="2:11" ht="7.95" customHeight="1" x14ac:dyDescent="0.3"/>
    <row r="2" spans="2:11" ht="36" customHeight="1" x14ac:dyDescent="0.3">
      <c r="B2" s="61" t="s">
        <v>505</v>
      </c>
      <c r="C2" s="53"/>
      <c r="D2" s="53"/>
      <c r="E2" s="53"/>
      <c r="F2" s="53"/>
      <c r="G2" s="53"/>
      <c r="H2" s="53"/>
      <c r="I2" s="53"/>
      <c r="J2" s="53"/>
      <c r="K2" s="53"/>
    </row>
    <row r="3" spans="2:11" ht="24" customHeight="1" x14ac:dyDescent="0.3">
      <c r="B3" s="59" t="s">
        <v>506</v>
      </c>
      <c r="C3" s="53"/>
      <c r="D3" s="53"/>
      <c r="E3" s="53"/>
      <c r="F3" s="53"/>
      <c r="G3" s="53"/>
      <c r="H3" s="53"/>
      <c r="I3" s="53"/>
      <c r="J3" s="53"/>
      <c r="K3" s="7" t="s">
        <v>57</v>
      </c>
    </row>
    <row r="4" spans="2:11" ht="7.95" customHeight="1" x14ac:dyDescent="0.3"/>
    <row r="5" spans="2:11" ht="24" customHeight="1" x14ac:dyDescent="0.3">
      <c r="B5" s="66" t="s">
        <v>507</v>
      </c>
      <c r="C5" s="48"/>
      <c r="D5" s="14">
        <f ca="1">TODAY()</f>
        <v>46312</v>
      </c>
      <c r="E5" s="59" t="s">
        <v>508</v>
      </c>
      <c r="F5" s="53"/>
      <c r="G5" s="53"/>
      <c r="H5" s="53"/>
      <c r="I5" s="53"/>
      <c r="J5" s="53"/>
      <c r="K5" s="53"/>
    </row>
    <row r="6" spans="2:11" ht="7.95" customHeight="1" x14ac:dyDescent="0.3"/>
    <row r="7" spans="2:11" ht="36" customHeight="1" x14ac:dyDescent="0.3">
      <c r="B7" s="3" t="s">
        <v>509</v>
      </c>
      <c r="C7" s="3" t="s">
        <v>510</v>
      </c>
      <c r="D7" s="3" t="s">
        <v>511</v>
      </c>
      <c r="E7" s="3" t="s">
        <v>512</v>
      </c>
      <c r="F7" s="3" t="s">
        <v>455</v>
      </c>
      <c r="G7" s="3" t="s">
        <v>458</v>
      </c>
      <c r="H7" s="3" t="s">
        <v>462</v>
      </c>
      <c r="I7" s="3" t="s">
        <v>513</v>
      </c>
      <c r="J7" s="3" t="s">
        <v>514</v>
      </c>
      <c r="K7" s="3" t="s">
        <v>515</v>
      </c>
    </row>
    <row r="8" spans="2:11" ht="33" customHeight="1" x14ac:dyDescent="0.3">
      <c r="B8" s="15" t="s">
        <v>516</v>
      </c>
      <c r="C8" s="16" t="s">
        <v>517</v>
      </c>
      <c r="D8" s="17" t="s">
        <v>518</v>
      </c>
      <c r="E8" s="16" t="s">
        <v>519</v>
      </c>
      <c r="F8" s="18">
        <v>46873</v>
      </c>
      <c r="G8" s="18">
        <v>46905</v>
      </c>
      <c r="H8" s="18">
        <v>46935</v>
      </c>
      <c r="I8" s="19">
        <f t="shared" ref="I8:I38" ca="1" si="0">IF(ISNUMBER(F8),F8-$D$5,"―")</f>
        <v>561</v>
      </c>
      <c r="J8" s="19">
        <f t="shared" ref="J8:J38" ca="1" si="1">IF(ISNUMBER(H8),H8-$D$5,"―")</f>
        <v>623</v>
      </c>
      <c r="K8" s="20" t="str">
        <f t="shared" ref="K8:K38" ca="1" si="2">IF(NOT(ISNUMBER(F8)),"予定なし（プレビュー）",IF(F8&lt;$D$5,"廃止済み",IF(F8-$D$5&lt;=180,"至急（180日以内）",IF(F8-$D$5&lt;=365,"計画（1年以内）","余裕あり"))))</f>
        <v>余裕あり</v>
      </c>
    </row>
    <row r="9" spans="2:11" ht="33" customHeight="1" x14ac:dyDescent="0.3">
      <c r="B9" s="15" t="s">
        <v>516</v>
      </c>
      <c r="C9" s="21" t="s">
        <v>520</v>
      </c>
      <c r="D9" s="22" t="s">
        <v>521</v>
      </c>
      <c r="E9" s="21" t="s">
        <v>519</v>
      </c>
      <c r="F9" s="23">
        <v>46507</v>
      </c>
      <c r="G9" s="23">
        <v>46597</v>
      </c>
      <c r="H9" s="23">
        <v>46630</v>
      </c>
      <c r="I9" s="24">
        <f t="shared" ca="1" si="0"/>
        <v>195</v>
      </c>
      <c r="J9" s="24">
        <f t="shared" ca="1" si="1"/>
        <v>318</v>
      </c>
      <c r="K9" s="25" t="str">
        <f t="shared" ca="1" si="2"/>
        <v>計画（1年以内）</v>
      </c>
    </row>
    <row r="10" spans="2:11" ht="33" customHeight="1" x14ac:dyDescent="0.3">
      <c r="B10" s="15" t="s">
        <v>516</v>
      </c>
      <c r="C10" s="16" t="s">
        <v>522</v>
      </c>
      <c r="D10" s="17" t="s">
        <v>523</v>
      </c>
      <c r="E10" s="16" t="s">
        <v>519</v>
      </c>
      <c r="F10" s="18">
        <v>47299</v>
      </c>
      <c r="G10" s="18">
        <v>47330</v>
      </c>
      <c r="H10" s="18">
        <v>47361</v>
      </c>
      <c r="I10" s="19">
        <f t="shared" ca="1" si="0"/>
        <v>987</v>
      </c>
      <c r="J10" s="19">
        <f t="shared" ca="1" si="1"/>
        <v>1049</v>
      </c>
      <c r="K10" s="20" t="str">
        <f t="shared" ca="1" si="2"/>
        <v>余裕あり</v>
      </c>
    </row>
    <row r="11" spans="2:11" ht="33" customHeight="1" x14ac:dyDescent="0.3">
      <c r="B11" s="15" t="s">
        <v>516</v>
      </c>
      <c r="C11" s="21" t="s">
        <v>524</v>
      </c>
      <c r="D11" s="22" t="s">
        <v>525</v>
      </c>
      <c r="E11" s="21" t="s">
        <v>519</v>
      </c>
      <c r="F11" s="23">
        <v>47299</v>
      </c>
      <c r="G11" s="23">
        <v>47330</v>
      </c>
      <c r="H11" s="23">
        <v>47361</v>
      </c>
      <c r="I11" s="24">
        <f t="shared" ca="1" si="0"/>
        <v>987</v>
      </c>
      <c r="J11" s="24">
        <f t="shared" ca="1" si="1"/>
        <v>1049</v>
      </c>
      <c r="K11" s="25" t="str">
        <f t="shared" ca="1" si="2"/>
        <v>余裕あり</v>
      </c>
    </row>
    <row r="12" spans="2:11" ht="33" customHeight="1" x14ac:dyDescent="0.3">
      <c r="B12" s="15" t="s">
        <v>516</v>
      </c>
      <c r="C12" s="16" t="s">
        <v>526</v>
      </c>
      <c r="D12" s="17" t="s">
        <v>527</v>
      </c>
      <c r="E12" s="16" t="s">
        <v>519</v>
      </c>
      <c r="F12" s="18">
        <v>47057</v>
      </c>
      <c r="G12" s="18">
        <v>47087</v>
      </c>
      <c r="H12" s="18">
        <v>47128</v>
      </c>
      <c r="I12" s="19">
        <f t="shared" ca="1" si="0"/>
        <v>745</v>
      </c>
      <c r="J12" s="19">
        <f t="shared" ca="1" si="1"/>
        <v>816</v>
      </c>
      <c r="K12" s="20" t="str">
        <f t="shared" ca="1" si="2"/>
        <v>余裕あり</v>
      </c>
    </row>
    <row r="13" spans="2:11" ht="22.05" customHeight="1" x14ac:dyDescent="0.3">
      <c r="B13" s="15" t="s">
        <v>516</v>
      </c>
      <c r="C13" s="21" t="s">
        <v>528</v>
      </c>
      <c r="D13" s="22" t="s">
        <v>529</v>
      </c>
      <c r="E13" s="21" t="s">
        <v>530</v>
      </c>
      <c r="F13" s="23">
        <v>46568</v>
      </c>
      <c r="G13" s="23">
        <v>46597</v>
      </c>
      <c r="H13" s="23">
        <v>46630</v>
      </c>
      <c r="I13" s="24">
        <f t="shared" ca="1" si="0"/>
        <v>256</v>
      </c>
      <c r="J13" s="24">
        <f t="shared" ca="1" si="1"/>
        <v>318</v>
      </c>
      <c r="K13" s="25" t="str">
        <f t="shared" ca="1" si="2"/>
        <v>計画（1年以内）</v>
      </c>
    </row>
    <row r="14" spans="2:11" ht="22.05" customHeight="1" x14ac:dyDescent="0.3">
      <c r="B14" s="15" t="s">
        <v>516</v>
      </c>
      <c r="C14" s="16" t="s">
        <v>531</v>
      </c>
      <c r="D14" s="17" t="s">
        <v>532</v>
      </c>
      <c r="E14" s="16" t="s">
        <v>530</v>
      </c>
      <c r="F14" s="18">
        <v>46326</v>
      </c>
      <c r="G14" s="18">
        <v>46597</v>
      </c>
      <c r="H14" s="18">
        <v>46630</v>
      </c>
      <c r="I14" s="19">
        <f t="shared" ca="1" si="0"/>
        <v>14</v>
      </c>
      <c r="J14" s="19">
        <f t="shared" ca="1" si="1"/>
        <v>318</v>
      </c>
      <c r="K14" s="20" t="str">
        <f t="shared" ca="1" si="2"/>
        <v>至急（180日以内）</v>
      </c>
    </row>
    <row r="15" spans="2:11" ht="33" customHeight="1" x14ac:dyDescent="0.3">
      <c r="B15" s="15" t="s">
        <v>516</v>
      </c>
      <c r="C15" s="21" t="s">
        <v>533</v>
      </c>
      <c r="D15" s="22" t="s">
        <v>534</v>
      </c>
      <c r="E15" s="21" t="s">
        <v>519</v>
      </c>
      <c r="F15" s="23">
        <v>47299</v>
      </c>
      <c r="G15" s="23">
        <v>47330</v>
      </c>
      <c r="H15" s="23">
        <v>47361</v>
      </c>
      <c r="I15" s="24">
        <f t="shared" ca="1" si="0"/>
        <v>987</v>
      </c>
      <c r="J15" s="24">
        <f t="shared" ca="1" si="1"/>
        <v>1049</v>
      </c>
      <c r="K15" s="25" t="str">
        <f t="shared" ca="1" si="2"/>
        <v>余裕あり</v>
      </c>
    </row>
    <row r="16" spans="2:11" ht="33" customHeight="1" x14ac:dyDescent="0.3">
      <c r="B16" s="15" t="s">
        <v>516</v>
      </c>
      <c r="C16" s="16" t="s">
        <v>535</v>
      </c>
      <c r="D16" s="17" t="s">
        <v>536</v>
      </c>
      <c r="E16" s="16" t="s">
        <v>519</v>
      </c>
      <c r="F16" s="18">
        <v>47299</v>
      </c>
      <c r="G16" s="18">
        <v>47330</v>
      </c>
      <c r="H16" s="18">
        <v>47361</v>
      </c>
      <c r="I16" s="19">
        <f t="shared" ca="1" si="0"/>
        <v>987</v>
      </c>
      <c r="J16" s="19">
        <f t="shared" ca="1" si="1"/>
        <v>1049</v>
      </c>
      <c r="K16" s="20" t="str">
        <f t="shared" ca="1" si="2"/>
        <v>余裕あり</v>
      </c>
    </row>
    <row r="17" spans="2:11" ht="33" customHeight="1" x14ac:dyDescent="0.3">
      <c r="B17" s="15" t="s">
        <v>516</v>
      </c>
      <c r="C17" s="21" t="s">
        <v>537</v>
      </c>
      <c r="D17" s="22" t="s">
        <v>538</v>
      </c>
      <c r="E17" s="21" t="s">
        <v>519</v>
      </c>
      <c r="F17" s="23">
        <v>47299</v>
      </c>
      <c r="G17" s="23">
        <v>47330</v>
      </c>
      <c r="H17" s="23">
        <v>47361</v>
      </c>
      <c r="I17" s="24">
        <f t="shared" ca="1" si="0"/>
        <v>987</v>
      </c>
      <c r="J17" s="24">
        <f t="shared" ca="1" si="1"/>
        <v>1049</v>
      </c>
      <c r="K17" s="25" t="str">
        <f t="shared" ca="1" si="2"/>
        <v>余裕あり</v>
      </c>
    </row>
    <row r="18" spans="2:11" ht="33" customHeight="1" x14ac:dyDescent="0.3">
      <c r="B18" s="15" t="s">
        <v>516</v>
      </c>
      <c r="C18" s="16" t="s">
        <v>539</v>
      </c>
      <c r="D18" s="17" t="s">
        <v>540</v>
      </c>
      <c r="E18" s="16" t="s">
        <v>519</v>
      </c>
      <c r="F18" s="18">
        <v>47299</v>
      </c>
      <c r="G18" s="18">
        <v>47330</v>
      </c>
      <c r="H18" s="18">
        <v>47361</v>
      </c>
      <c r="I18" s="19">
        <f t="shared" ca="1" si="0"/>
        <v>987</v>
      </c>
      <c r="J18" s="19">
        <f t="shared" ca="1" si="1"/>
        <v>1049</v>
      </c>
      <c r="K18" s="20" t="str">
        <f t="shared" ca="1" si="2"/>
        <v>余裕あり</v>
      </c>
    </row>
    <row r="19" spans="2:11" ht="33" customHeight="1" x14ac:dyDescent="0.3">
      <c r="B19" s="15" t="s">
        <v>516</v>
      </c>
      <c r="C19" s="21" t="s">
        <v>541</v>
      </c>
      <c r="D19" s="22" t="s">
        <v>542</v>
      </c>
      <c r="E19" s="21" t="s">
        <v>519</v>
      </c>
      <c r="F19" s="23">
        <v>47299</v>
      </c>
      <c r="G19" s="23">
        <v>47330</v>
      </c>
      <c r="H19" s="23">
        <v>47361</v>
      </c>
      <c r="I19" s="24">
        <f t="shared" ca="1" si="0"/>
        <v>987</v>
      </c>
      <c r="J19" s="24">
        <f t="shared" ca="1" si="1"/>
        <v>1049</v>
      </c>
      <c r="K19" s="25" t="str">
        <f t="shared" ca="1" si="2"/>
        <v>余裕あり</v>
      </c>
    </row>
    <row r="20" spans="2:11" ht="22.05" customHeight="1" x14ac:dyDescent="0.3">
      <c r="B20" s="15" t="s">
        <v>516</v>
      </c>
      <c r="C20" s="16" t="s">
        <v>543</v>
      </c>
      <c r="D20" s="17" t="s">
        <v>544</v>
      </c>
      <c r="E20" s="16" t="s">
        <v>530</v>
      </c>
      <c r="F20" s="18">
        <v>46568</v>
      </c>
      <c r="G20" s="18">
        <v>46597</v>
      </c>
      <c r="H20" s="18">
        <v>46630</v>
      </c>
      <c r="I20" s="19">
        <f t="shared" ca="1" si="0"/>
        <v>256</v>
      </c>
      <c r="J20" s="19">
        <f t="shared" ca="1" si="1"/>
        <v>318</v>
      </c>
      <c r="K20" s="20" t="str">
        <f t="shared" ca="1" si="2"/>
        <v>計画（1年以内）</v>
      </c>
    </row>
    <row r="21" spans="2:11" ht="22.05" customHeight="1" x14ac:dyDescent="0.3">
      <c r="B21" s="15" t="s">
        <v>516</v>
      </c>
      <c r="C21" s="21" t="s">
        <v>545</v>
      </c>
      <c r="D21" s="22" t="s">
        <v>546</v>
      </c>
      <c r="E21" s="21" t="s">
        <v>530</v>
      </c>
      <c r="F21" s="23">
        <v>46568</v>
      </c>
      <c r="G21" s="23">
        <v>46597</v>
      </c>
      <c r="H21" s="23">
        <v>46630</v>
      </c>
      <c r="I21" s="24">
        <f t="shared" ca="1" si="0"/>
        <v>256</v>
      </c>
      <c r="J21" s="24">
        <f t="shared" ca="1" si="1"/>
        <v>318</v>
      </c>
      <c r="K21" s="25" t="str">
        <f t="shared" ca="1" si="2"/>
        <v>計画（1年以内）</v>
      </c>
    </row>
    <row r="22" spans="2:11" ht="22.05" customHeight="1" x14ac:dyDescent="0.3">
      <c r="B22" s="15" t="s">
        <v>516</v>
      </c>
      <c r="C22" s="16" t="s">
        <v>547</v>
      </c>
      <c r="D22" s="17" t="s">
        <v>548</v>
      </c>
      <c r="E22" s="16" t="s">
        <v>530</v>
      </c>
      <c r="F22" s="18">
        <v>46568</v>
      </c>
      <c r="G22" s="18">
        <v>46597</v>
      </c>
      <c r="H22" s="18">
        <v>46630</v>
      </c>
      <c r="I22" s="19">
        <f t="shared" ca="1" si="0"/>
        <v>256</v>
      </c>
      <c r="J22" s="19">
        <f t="shared" ca="1" si="1"/>
        <v>318</v>
      </c>
      <c r="K22" s="20" t="str">
        <f t="shared" ca="1" si="2"/>
        <v>計画（1年以内）</v>
      </c>
    </row>
    <row r="23" spans="2:11" ht="33" customHeight="1" x14ac:dyDescent="0.3">
      <c r="B23" s="15" t="s">
        <v>516</v>
      </c>
      <c r="C23" s="21" t="s">
        <v>549</v>
      </c>
      <c r="D23" s="22" t="s">
        <v>550</v>
      </c>
      <c r="E23" s="21" t="s">
        <v>519</v>
      </c>
      <c r="F23" s="23">
        <v>47071</v>
      </c>
      <c r="G23" s="23">
        <v>47101</v>
      </c>
      <c r="H23" s="23">
        <v>47133</v>
      </c>
      <c r="I23" s="24">
        <f t="shared" ca="1" si="0"/>
        <v>759</v>
      </c>
      <c r="J23" s="24">
        <f t="shared" ca="1" si="1"/>
        <v>821</v>
      </c>
      <c r="K23" s="25" t="str">
        <f t="shared" ca="1" si="2"/>
        <v>余裕あり</v>
      </c>
    </row>
    <row r="24" spans="2:11" ht="33" customHeight="1" x14ac:dyDescent="0.3">
      <c r="B24" s="15" t="s">
        <v>516</v>
      </c>
      <c r="C24" s="16" t="s">
        <v>551</v>
      </c>
      <c r="D24" s="17" t="s">
        <v>552</v>
      </c>
      <c r="E24" s="16" t="s">
        <v>519</v>
      </c>
      <c r="F24" s="18">
        <v>46336</v>
      </c>
      <c r="G24" s="18">
        <v>46597</v>
      </c>
      <c r="H24" s="18">
        <v>46630</v>
      </c>
      <c r="I24" s="19">
        <f t="shared" ca="1" si="0"/>
        <v>24</v>
      </c>
      <c r="J24" s="19">
        <f t="shared" ca="1" si="1"/>
        <v>318</v>
      </c>
      <c r="K24" s="20" t="str">
        <f t="shared" ca="1" si="2"/>
        <v>至急（180日以内）</v>
      </c>
    </row>
    <row r="25" spans="2:11" ht="33" customHeight="1" x14ac:dyDescent="0.3">
      <c r="B25" s="15" t="s">
        <v>516</v>
      </c>
      <c r="C25" s="21" t="s">
        <v>553</v>
      </c>
      <c r="D25" s="22" t="s">
        <v>554</v>
      </c>
      <c r="E25" s="21" t="s">
        <v>519</v>
      </c>
      <c r="F25" s="23">
        <v>47208</v>
      </c>
      <c r="G25" s="23">
        <v>47238</v>
      </c>
      <c r="H25" s="23">
        <v>47269</v>
      </c>
      <c r="I25" s="24">
        <f t="shared" ca="1" si="0"/>
        <v>896</v>
      </c>
      <c r="J25" s="24">
        <f t="shared" ca="1" si="1"/>
        <v>957</v>
      </c>
      <c r="K25" s="25" t="str">
        <f t="shared" ca="1" si="2"/>
        <v>余裕あり</v>
      </c>
    </row>
    <row r="26" spans="2:11" ht="33" customHeight="1" x14ac:dyDescent="0.3">
      <c r="B26" s="15" t="s">
        <v>516</v>
      </c>
      <c r="C26" s="16" t="s">
        <v>555</v>
      </c>
      <c r="D26" s="17" t="s">
        <v>556</v>
      </c>
      <c r="E26" s="16" t="s">
        <v>519</v>
      </c>
      <c r="F26" s="18">
        <v>46843</v>
      </c>
      <c r="G26" s="18">
        <v>46873</v>
      </c>
      <c r="H26" s="18">
        <v>46904</v>
      </c>
      <c r="I26" s="19">
        <f t="shared" ca="1" si="0"/>
        <v>531</v>
      </c>
      <c r="J26" s="19">
        <f t="shared" ca="1" si="1"/>
        <v>592</v>
      </c>
      <c r="K26" s="20" t="str">
        <f t="shared" ca="1" si="2"/>
        <v>余裕あり</v>
      </c>
    </row>
    <row r="27" spans="2:11" ht="33" customHeight="1" x14ac:dyDescent="0.3">
      <c r="B27" s="15" t="s">
        <v>516</v>
      </c>
      <c r="C27" s="21" t="s">
        <v>557</v>
      </c>
      <c r="D27" s="22" t="s">
        <v>558</v>
      </c>
      <c r="E27" s="21" t="s">
        <v>519</v>
      </c>
      <c r="F27" s="23">
        <v>46477</v>
      </c>
      <c r="G27" s="23">
        <v>46597</v>
      </c>
      <c r="H27" s="23">
        <v>46630</v>
      </c>
      <c r="I27" s="24">
        <f t="shared" ca="1" si="0"/>
        <v>165</v>
      </c>
      <c r="J27" s="24">
        <f t="shared" ca="1" si="1"/>
        <v>318</v>
      </c>
      <c r="K27" s="25" t="str">
        <f t="shared" ca="1" si="2"/>
        <v>至急（180日以内）</v>
      </c>
    </row>
    <row r="28" spans="2:11" ht="33" customHeight="1" x14ac:dyDescent="0.3">
      <c r="B28" s="15" t="s">
        <v>516</v>
      </c>
      <c r="C28" s="16" t="s">
        <v>559</v>
      </c>
      <c r="D28" s="17" t="s">
        <v>560</v>
      </c>
      <c r="E28" s="16" t="s">
        <v>519</v>
      </c>
      <c r="F28" s="18">
        <v>47299</v>
      </c>
      <c r="G28" s="18">
        <v>47330</v>
      </c>
      <c r="H28" s="18">
        <v>47361</v>
      </c>
      <c r="I28" s="19">
        <f t="shared" ca="1" si="0"/>
        <v>987</v>
      </c>
      <c r="J28" s="19">
        <f t="shared" ca="1" si="1"/>
        <v>1049</v>
      </c>
      <c r="K28" s="20" t="str">
        <f t="shared" ca="1" si="2"/>
        <v>余裕あり</v>
      </c>
    </row>
    <row r="29" spans="2:11" ht="33" customHeight="1" x14ac:dyDescent="0.3">
      <c r="B29" s="15" t="s">
        <v>561</v>
      </c>
      <c r="C29" s="21" t="s">
        <v>562</v>
      </c>
      <c r="D29" s="22" t="s">
        <v>563</v>
      </c>
      <c r="E29" s="21" t="s">
        <v>519</v>
      </c>
      <c r="F29" s="26" t="s">
        <v>564</v>
      </c>
      <c r="G29" s="26" t="s">
        <v>564</v>
      </c>
      <c r="H29" s="26" t="s">
        <v>564</v>
      </c>
      <c r="I29" s="24" t="str">
        <f t="shared" si="0"/>
        <v>―</v>
      </c>
      <c r="J29" s="24" t="str">
        <f t="shared" si="1"/>
        <v>―</v>
      </c>
      <c r="K29" s="25" t="str">
        <f t="shared" si="2"/>
        <v>予定なし（プレビュー）</v>
      </c>
    </row>
    <row r="30" spans="2:11" ht="33" customHeight="1" x14ac:dyDescent="0.3">
      <c r="B30" s="15" t="s">
        <v>561</v>
      </c>
      <c r="C30" s="16" t="s">
        <v>565</v>
      </c>
      <c r="D30" s="17" t="s">
        <v>566</v>
      </c>
      <c r="E30" s="16" t="s">
        <v>519</v>
      </c>
      <c r="F30" s="27" t="s">
        <v>564</v>
      </c>
      <c r="G30" s="27" t="s">
        <v>564</v>
      </c>
      <c r="H30" s="27" t="s">
        <v>564</v>
      </c>
      <c r="I30" s="19" t="str">
        <f t="shared" si="0"/>
        <v>―</v>
      </c>
      <c r="J30" s="19" t="str">
        <f t="shared" si="1"/>
        <v>―</v>
      </c>
      <c r="K30" s="20" t="str">
        <f t="shared" si="2"/>
        <v>予定なし（プレビュー）</v>
      </c>
    </row>
    <row r="31" spans="2:11" ht="22.05" customHeight="1" x14ac:dyDescent="0.3">
      <c r="B31" s="15" t="s">
        <v>567</v>
      </c>
      <c r="C31" s="21" t="s">
        <v>559</v>
      </c>
      <c r="D31" s="22" t="s">
        <v>568</v>
      </c>
      <c r="E31" s="21" t="s">
        <v>530</v>
      </c>
      <c r="F31" s="23">
        <v>46234</v>
      </c>
      <c r="G31" s="23">
        <v>46597</v>
      </c>
      <c r="H31" s="23">
        <v>46630</v>
      </c>
      <c r="I31" s="24">
        <f t="shared" ca="1" si="0"/>
        <v>-78</v>
      </c>
      <c r="J31" s="24">
        <f t="shared" ca="1" si="1"/>
        <v>318</v>
      </c>
      <c r="K31" s="25" t="str">
        <f t="shared" ca="1" si="2"/>
        <v>廃止済み</v>
      </c>
    </row>
    <row r="32" spans="2:11" ht="33" customHeight="1" x14ac:dyDescent="0.3">
      <c r="B32" s="15" t="s">
        <v>567</v>
      </c>
      <c r="C32" s="16" t="s">
        <v>569</v>
      </c>
      <c r="D32" s="17" t="s">
        <v>570</v>
      </c>
      <c r="E32" s="16" t="s">
        <v>519</v>
      </c>
      <c r="F32" s="18">
        <v>46142</v>
      </c>
      <c r="G32" s="18">
        <v>46597</v>
      </c>
      <c r="H32" s="18">
        <v>46630</v>
      </c>
      <c r="I32" s="19">
        <f t="shared" ca="1" si="0"/>
        <v>-170</v>
      </c>
      <c r="J32" s="19">
        <f t="shared" ca="1" si="1"/>
        <v>318</v>
      </c>
      <c r="K32" s="20" t="str">
        <f t="shared" ca="1" si="2"/>
        <v>廃止済み</v>
      </c>
    </row>
    <row r="33" spans="2:11" ht="22.05" customHeight="1" x14ac:dyDescent="0.3">
      <c r="B33" s="15" t="s">
        <v>567</v>
      </c>
      <c r="C33" s="21" t="s">
        <v>571</v>
      </c>
      <c r="D33" s="22" t="s">
        <v>572</v>
      </c>
      <c r="E33" s="21" t="s">
        <v>530</v>
      </c>
      <c r="F33" s="23">
        <v>46112</v>
      </c>
      <c r="G33" s="23">
        <v>46597</v>
      </c>
      <c r="H33" s="23">
        <v>46630</v>
      </c>
      <c r="I33" s="24">
        <f t="shared" ca="1" si="0"/>
        <v>-200</v>
      </c>
      <c r="J33" s="24">
        <f t="shared" ca="1" si="1"/>
        <v>318</v>
      </c>
      <c r="K33" s="25" t="str">
        <f t="shared" ca="1" si="2"/>
        <v>廃止済み</v>
      </c>
    </row>
    <row r="34" spans="2:11" ht="22.05" customHeight="1" x14ac:dyDescent="0.3">
      <c r="B34" s="15" t="s">
        <v>567</v>
      </c>
      <c r="C34" s="16" t="s">
        <v>573</v>
      </c>
      <c r="D34" s="17" t="s">
        <v>574</v>
      </c>
      <c r="E34" s="16" t="s">
        <v>530</v>
      </c>
      <c r="F34" s="18">
        <v>46006</v>
      </c>
      <c r="G34" s="18">
        <v>46597</v>
      </c>
      <c r="H34" s="18">
        <v>46630</v>
      </c>
      <c r="I34" s="19">
        <f t="shared" ca="1" si="0"/>
        <v>-306</v>
      </c>
      <c r="J34" s="19">
        <f t="shared" ca="1" si="1"/>
        <v>318</v>
      </c>
      <c r="K34" s="20" t="str">
        <f t="shared" ca="1" si="2"/>
        <v>廃止済み</v>
      </c>
    </row>
    <row r="35" spans="2:11" ht="22.05" customHeight="1" x14ac:dyDescent="0.3">
      <c r="B35" s="15" t="s">
        <v>567</v>
      </c>
      <c r="C35" s="21" t="s">
        <v>575</v>
      </c>
      <c r="D35" s="22" t="s">
        <v>576</v>
      </c>
      <c r="E35" s="21" t="s">
        <v>530</v>
      </c>
      <c r="F35" s="23">
        <v>45901</v>
      </c>
      <c r="G35" s="23">
        <v>46597</v>
      </c>
      <c r="H35" s="23">
        <v>46630</v>
      </c>
      <c r="I35" s="24">
        <f t="shared" ca="1" si="0"/>
        <v>-411</v>
      </c>
      <c r="J35" s="24">
        <f t="shared" ca="1" si="1"/>
        <v>318</v>
      </c>
      <c r="K35" s="25" t="str">
        <f t="shared" ca="1" si="2"/>
        <v>廃止済み</v>
      </c>
    </row>
    <row r="36" spans="2:11" ht="22.05" customHeight="1" x14ac:dyDescent="0.3">
      <c r="B36" s="15" t="s">
        <v>567</v>
      </c>
      <c r="C36" s="16" t="s">
        <v>577</v>
      </c>
      <c r="D36" s="17" t="s">
        <v>578</v>
      </c>
      <c r="E36" s="16" t="s">
        <v>530</v>
      </c>
      <c r="F36" s="18">
        <v>45646</v>
      </c>
      <c r="G36" s="18">
        <v>46597</v>
      </c>
      <c r="H36" s="18">
        <v>46630</v>
      </c>
      <c r="I36" s="19">
        <f t="shared" ca="1" si="0"/>
        <v>-666</v>
      </c>
      <c r="J36" s="19">
        <f t="shared" ca="1" si="1"/>
        <v>318</v>
      </c>
      <c r="K36" s="20" t="str">
        <f t="shared" ca="1" si="2"/>
        <v>廃止済み</v>
      </c>
    </row>
    <row r="37" spans="2:11" ht="22.05" customHeight="1" x14ac:dyDescent="0.3">
      <c r="B37" s="15" t="s">
        <v>567</v>
      </c>
      <c r="C37" s="21" t="s">
        <v>579</v>
      </c>
      <c r="D37" s="22" t="s">
        <v>580</v>
      </c>
      <c r="E37" s="21" t="s">
        <v>530</v>
      </c>
      <c r="F37" s="23">
        <v>45579</v>
      </c>
      <c r="G37" s="23">
        <v>46597</v>
      </c>
      <c r="H37" s="23">
        <v>46630</v>
      </c>
      <c r="I37" s="24">
        <f t="shared" ca="1" si="0"/>
        <v>-733</v>
      </c>
      <c r="J37" s="24">
        <f t="shared" ca="1" si="1"/>
        <v>318</v>
      </c>
      <c r="K37" s="25" t="str">
        <f t="shared" ca="1" si="2"/>
        <v>廃止済み</v>
      </c>
    </row>
    <row r="38" spans="2:11" ht="22.05" customHeight="1" x14ac:dyDescent="0.3">
      <c r="B38" s="15" t="s">
        <v>567</v>
      </c>
      <c r="C38" s="16" t="s">
        <v>581</v>
      </c>
      <c r="D38" s="17" t="s">
        <v>582</v>
      </c>
      <c r="E38" s="16" t="s">
        <v>530</v>
      </c>
      <c r="F38" s="18">
        <v>45455</v>
      </c>
      <c r="G38" s="18">
        <v>46597</v>
      </c>
      <c r="H38" s="18">
        <v>46630</v>
      </c>
      <c r="I38" s="19">
        <f t="shared" ca="1" si="0"/>
        <v>-857</v>
      </c>
      <c r="J38" s="19">
        <f t="shared" ca="1" si="1"/>
        <v>318</v>
      </c>
      <c r="K38" s="20" t="str">
        <f t="shared" ca="1" si="2"/>
        <v>廃止済み</v>
      </c>
    </row>
    <row r="39" spans="2:11" ht="7.95" customHeight="1" x14ac:dyDescent="0.3"/>
    <row r="40" spans="2:11" ht="34.950000000000003" customHeight="1" x14ac:dyDescent="0.3">
      <c r="B40" s="67" t="s">
        <v>583</v>
      </c>
      <c r="C40" s="57"/>
      <c r="D40" s="55" t="s">
        <v>584</v>
      </c>
      <c r="E40" s="56"/>
      <c r="F40" s="56"/>
      <c r="G40" s="56"/>
      <c r="H40" s="56"/>
      <c r="I40" s="56"/>
      <c r="J40" s="56"/>
      <c r="K40" s="57"/>
    </row>
    <row r="41" spans="2:11" ht="6" customHeight="1" x14ac:dyDescent="0.3"/>
    <row r="42" spans="2:11" ht="49.5" customHeight="1" x14ac:dyDescent="0.3">
      <c r="B42" s="67" t="s">
        <v>321</v>
      </c>
      <c r="C42" s="57"/>
      <c r="D42" s="55" t="s">
        <v>585</v>
      </c>
      <c r="E42" s="56"/>
      <c r="F42" s="56"/>
      <c r="G42" s="56"/>
      <c r="H42" s="56"/>
      <c r="I42" s="56"/>
      <c r="J42" s="56"/>
      <c r="K42" s="57"/>
    </row>
    <row r="43" spans="2:11" ht="6" customHeight="1" x14ac:dyDescent="0.3"/>
  </sheetData>
  <mergeCells count="8">
    <mergeCell ref="B2:K2"/>
    <mergeCell ref="B40:C40"/>
    <mergeCell ref="D40:K40"/>
    <mergeCell ref="E5:K5"/>
    <mergeCell ref="B3:J3"/>
    <mergeCell ref="B5:C5"/>
    <mergeCell ref="B42:C42"/>
    <mergeCell ref="D42:K42"/>
  </mergeCells>
  <phoneticPr fontId="13"/>
  <conditionalFormatting sqref="K8:K38">
    <cfRule type="expression" dxfId="5" priority="1">
      <formula>$K8="廃止済み"</formula>
    </cfRule>
    <cfRule type="expression" dxfId="4" priority="2">
      <formula>$K8="至急（180日以内）"</formula>
    </cfRule>
    <cfRule type="expression" dxfId="3" priority="3">
      <formula>$K8="計画（1年以内）"</formula>
    </cfRule>
  </conditionalFormatting>
  <hyperlinks>
    <hyperlink ref="K3" location="'00_表紙'!A1" display="◀ 目次へ戻る" xr:uid="{00000000-0004-0000-05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C8C8C"/>
    <pageSetUpPr fitToPage="1"/>
  </sheetPr>
  <dimension ref="B1:H67"/>
  <sheetViews>
    <sheetView showGridLines="0" workbookViewId="0">
      <pane ySplit="3" topLeftCell="A4" activePane="bottomLeft" state="frozen"/>
      <selection pane="bottomLeft"/>
    </sheetView>
  </sheetViews>
  <sheetFormatPr defaultRowHeight="14.4" x14ac:dyDescent="0.3"/>
  <cols>
    <col min="1" max="1" width="2.453125" customWidth="1"/>
    <col min="2" max="2" width="6" customWidth="1"/>
    <col min="3" max="3" width="15" customWidth="1"/>
    <col min="4" max="4" width="24" customWidth="1"/>
    <col min="5" max="6" width="18" customWidth="1"/>
    <col min="7" max="7" width="26" customWidth="1"/>
    <col min="8" max="8" width="36" customWidth="1"/>
    <col min="9" max="9" width="2.453125" customWidth="1"/>
  </cols>
  <sheetData>
    <row r="1" spans="2:8" ht="7.95" customHeight="1" x14ac:dyDescent="0.3"/>
    <row r="2" spans="2:8" ht="36" customHeight="1" x14ac:dyDescent="0.3">
      <c r="B2" s="61" t="s">
        <v>586</v>
      </c>
      <c r="C2" s="53"/>
      <c r="D2" s="53"/>
      <c r="E2" s="53"/>
      <c r="F2" s="53"/>
      <c r="G2" s="53"/>
      <c r="H2" s="53"/>
    </row>
    <row r="3" spans="2:8" ht="24" customHeight="1" x14ac:dyDescent="0.3">
      <c r="B3" s="59" t="s">
        <v>587</v>
      </c>
      <c r="C3" s="53"/>
      <c r="D3" s="53"/>
      <c r="E3" s="53"/>
      <c r="F3" s="53"/>
      <c r="G3" s="53"/>
      <c r="H3" s="7" t="s">
        <v>57</v>
      </c>
    </row>
    <row r="4" spans="2:8" ht="7.95" customHeight="1" x14ac:dyDescent="0.3"/>
    <row r="5" spans="2:8" ht="25.35" customHeight="1" x14ac:dyDescent="0.3">
      <c r="B5" s="54" t="s">
        <v>588</v>
      </c>
      <c r="C5" s="53"/>
      <c r="D5" s="53"/>
      <c r="E5" s="53"/>
      <c r="F5" s="53"/>
      <c r="G5" s="53"/>
      <c r="H5" s="53"/>
    </row>
    <row r="6" spans="2:8" ht="4.05" customHeight="1" x14ac:dyDescent="0.3"/>
    <row r="7" spans="2:8" ht="49.5" customHeight="1" x14ac:dyDescent="0.3">
      <c r="B7" s="62" t="s">
        <v>589</v>
      </c>
      <c r="C7" s="53"/>
      <c r="D7" s="53"/>
      <c r="E7" s="53"/>
      <c r="F7" s="53"/>
      <c r="G7" s="53"/>
      <c r="H7" s="53"/>
    </row>
    <row r="8" spans="2:8" ht="4.05" customHeight="1" x14ac:dyDescent="0.3"/>
    <row r="9" spans="2:8" ht="24" customHeight="1" x14ac:dyDescent="0.3">
      <c r="B9" s="67" t="s">
        <v>17</v>
      </c>
      <c r="C9" s="57"/>
      <c r="D9" s="55" t="s">
        <v>590</v>
      </c>
      <c r="E9" s="56"/>
      <c r="F9" s="56"/>
      <c r="G9" s="56"/>
      <c r="H9" s="57"/>
    </row>
    <row r="10" spans="2:8" ht="6" customHeight="1" x14ac:dyDescent="0.3"/>
    <row r="11" spans="2:8" ht="10.050000000000001" customHeight="1" x14ac:dyDescent="0.3"/>
    <row r="12" spans="2:8" ht="25.35" customHeight="1" x14ac:dyDescent="0.3">
      <c r="B12" s="54" t="s">
        <v>591</v>
      </c>
      <c r="C12" s="53"/>
      <c r="D12" s="53"/>
      <c r="E12" s="53"/>
      <c r="F12" s="53"/>
      <c r="G12" s="53"/>
      <c r="H12" s="53"/>
    </row>
    <row r="13" spans="2:8" ht="4.05" customHeight="1" x14ac:dyDescent="0.3"/>
    <row r="14" spans="2:8" ht="37.049999999999997" customHeight="1" x14ac:dyDescent="0.3">
      <c r="B14" s="58" t="s">
        <v>592</v>
      </c>
      <c r="C14" s="48"/>
      <c r="D14" s="3" t="s">
        <v>593</v>
      </c>
      <c r="E14" s="3" t="s">
        <v>594</v>
      </c>
      <c r="F14" s="3" t="s">
        <v>595</v>
      </c>
      <c r="G14" s="3" t="s">
        <v>596</v>
      </c>
      <c r="H14" s="3" t="s">
        <v>597</v>
      </c>
    </row>
    <row r="15" spans="2:8" ht="20.55" customHeight="1" x14ac:dyDescent="0.3">
      <c r="B15" s="68" t="s">
        <v>598</v>
      </c>
      <c r="C15" s="48"/>
      <c r="D15" s="5" t="s">
        <v>599</v>
      </c>
      <c r="E15" s="28" t="s">
        <v>600</v>
      </c>
      <c r="F15" s="27" t="s">
        <v>601</v>
      </c>
      <c r="G15" s="5" t="s">
        <v>602</v>
      </c>
      <c r="H15" s="5" t="s">
        <v>603</v>
      </c>
    </row>
    <row r="16" spans="2:8" ht="34.950000000000003" customHeight="1" x14ac:dyDescent="0.3">
      <c r="B16" s="68" t="s">
        <v>604</v>
      </c>
      <c r="C16" s="48"/>
      <c r="D16" s="6" t="s">
        <v>605</v>
      </c>
      <c r="E16" s="28" t="s">
        <v>600</v>
      </c>
      <c r="F16" s="26" t="s">
        <v>601</v>
      </c>
      <c r="G16" s="6" t="s">
        <v>602</v>
      </c>
      <c r="H16" s="6" t="s">
        <v>606</v>
      </c>
    </row>
    <row r="17" spans="2:8" ht="34.950000000000003" customHeight="1" x14ac:dyDescent="0.3">
      <c r="B17" s="68" t="s">
        <v>607</v>
      </c>
      <c r="C17" s="48"/>
      <c r="D17" s="5" t="s">
        <v>525</v>
      </c>
      <c r="E17" s="28" t="s">
        <v>600</v>
      </c>
      <c r="F17" s="20" t="s">
        <v>608</v>
      </c>
      <c r="G17" s="5" t="s">
        <v>602</v>
      </c>
      <c r="H17" s="5" t="s">
        <v>603</v>
      </c>
    </row>
    <row r="18" spans="2:8" ht="20.55" customHeight="1" x14ac:dyDescent="0.3">
      <c r="B18" s="68" t="s">
        <v>609</v>
      </c>
      <c r="C18" s="48"/>
      <c r="D18" s="6" t="s">
        <v>525</v>
      </c>
      <c r="E18" s="28" t="s">
        <v>610</v>
      </c>
      <c r="F18" s="28" t="s">
        <v>611</v>
      </c>
      <c r="G18" s="6" t="s">
        <v>612</v>
      </c>
      <c r="H18" s="6" t="s">
        <v>613</v>
      </c>
    </row>
    <row r="19" spans="2:8" ht="34.950000000000003" customHeight="1" x14ac:dyDescent="0.3">
      <c r="B19" s="68" t="s">
        <v>614</v>
      </c>
      <c r="C19" s="48"/>
      <c r="D19" s="5" t="s">
        <v>525</v>
      </c>
      <c r="E19" s="20" t="s">
        <v>615</v>
      </c>
      <c r="F19" s="28" t="s">
        <v>600</v>
      </c>
      <c r="G19" s="5" t="s">
        <v>616</v>
      </c>
      <c r="H19" s="5" t="s">
        <v>617</v>
      </c>
    </row>
    <row r="20" spans="2:8" ht="20.55" customHeight="1" x14ac:dyDescent="0.3">
      <c r="B20" s="68" t="s">
        <v>618</v>
      </c>
      <c r="C20" s="48"/>
      <c r="D20" s="6" t="s">
        <v>525</v>
      </c>
      <c r="E20" s="28" t="s">
        <v>600</v>
      </c>
      <c r="F20" s="25" t="s">
        <v>619</v>
      </c>
      <c r="G20" s="6" t="s">
        <v>602</v>
      </c>
      <c r="H20" s="6" t="s">
        <v>620</v>
      </c>
    </row>
    <row r="21" spans="2:8" ht="7.95" customHeight="1" x14ac:dyDescent="0.3"/>
    <row r="22" spans="2:8" ht="24" customHeight="1" x14ac:dyDescent="0.3">
      <c r="B22" s="67" t="s">
        <v>621</v>
      </c>
      <c r="C22" s="57"/>
      <c r="D22" s="55" t="s">
        <v>622</v>
      </c>
      <c r="E22" s="56"/>
      <c r="F22" s="56"/>
      <c r="G22" s="56"/>
      <c r="H22" s="57"/>
    </row>
    <row r="23" spans="2:8" ht="6" customHeight="1" x14ac:dyDescent="0.3"/>
    <row r="24" spans="2:8" ht="10.050000000000001" customHeight="1" x14ac:dyDescent="0.3"/>
    <row r="25" spans="2:8" ht="25.35" customHeight="1" x14ac:dyDescent="0.3">
      <c r="B25" s="54" t="s">
        <v>623</v>
      </c>
      <c r="C25" s="53"/>
      <c r="D25" s="53"/>
      <c r="E25" s="53"/>
      <c r="F25" s="53"/>
      <c r="G25" s="53"/>
      <c r="H25" s="53"/>
    </row>
    <row r="26" spans="2:8" ht="4.05" customHeight="1" x14ac:dyDescent="0.3"/>
    <row r="27" spans="2:8" ht="34.950000000000003" customHeight="1" x14ac:dyDescent="0.3">
      <c r="B27" s="62" t="s">
        <v>624</v>
      </c>
      <c r="C27" s="53"/>
      <c r="D27" s="53"/>
      <c r="E27" s="53"/>
      <c r="F27" s="53"/>
      <c r="G27" s="53"/>
      <c r="H27" s="53"/>
    </row>
    <row r="28" spans="2:8" ht="4.05" customHeight="1" x14ac:dyDescent="0.3"/>
    <row r="29" spans="2:8" ht="22.5" customHeight="1" x14ac:dyDescent="0.3">
      <c r="B29" s="3" t="s">
        <v>625</v>
      </c>
      <c r="C29" s="3" t="s">
        <v>447</v>
      </c>
      <c r="D29" s="3" t="s">
        <v>626</v>
      </c>
      <c r="E29" s="58" t="s">
        <v>627</v>
      </c>
      <c r="F29" s="51"/>
      <c r="G29" s="48"/>
      <c r="H29" s="3" t="s">
        <v>628</v>
      </c>
    </row>
    <row r="30" spans="2:8" ht="61.95" customHeight="1" x14ac:dyDescent="0.3">
      <c r="B30" s="20" t="s">
        <v>629</v>
      </c>
      <c r="C30" s="5" t="s">
        <v>115</v>
      </c>
      <c r="D30" s="5" t="s">
        <v>630</v>
      </c>
      <c r="E30" s="49" t="s">
        <v>631</v>
      </c>
      <c r="F30" s="51"/>
      <c r="G30" s="48"/>
      <c r="H30" s="5" t="s">
        <v>632</v>
      </c>
    </row>
    <row r="31" spans="2:8" ht="78.45" customHeight="1" x14ac:dyDescent="0.3">
      <c r="B31" s="25" t="s">
        <v>633</v>
      </c>
      <c r="C31" s="6" t="s">
        <v>115</v>
      </c>
      <c r="D31" s="6" t="s">
        <v>634</v>
      </c>
      <c r="E31" s="47" t="s">
        <v>635</v>
      </c>
      <c r="F31" s="51"/>
      <c r="G31" s="48"/>
      <c r="H31" s="6" t="s">
        <v>636</v>
      </c>
    </row>
    <row r="32" spans="2:8" ht="34.950000000000003" customHeight="1" x14ac:dyDescent="0.3">
      <c r="B32" s="20" t="s">
        <v>637</v>
      </c>
      <c r="C32" s="5" t="s">
        <v>115</v>
      </c>
      <c r="D32" s="5" t="s">
        <v>638</v>
      </c>
      <c r="E32" s="49" t="s">
        <v>639</v>
      </c>
      <c r="F32" s="51"/>
      <c r="G32" s="48"/>
      <c r="H32" s="5" t="s">
        <v>640</v>
      </c>
    </row>
    <row r="33" spans="2:8" ht="64.05" customHeight="1" x14ac:dyDescent="0.3">
      <c r="B33" s="25" t="s">
        <v>641</v>
      </c>
      <c r="C33" s="6" t="s">
        <v>642</v>
      </c>
      <c r="D33" s="6" t="s">
        <v>643</v>
      </c>
      <c r="E33" s="47" t="s">
        <v>644</v>
      </c>
      <c r="F33" s="51"/>
      <c r="G33" s="48"/>
      <c r="H33" s="6" t="s">
        <v>645</v>
      </c>
    </row>
    <row r="34" spans="2:8" ht="34.950000000000003" customHeight="1" x14ac:dyDescent="0.3">
      <c r="B34" s="20" t="s">
        <v>646</v>
      </c>
      <c r="C34" s="5" t="s">
        <v>642</v>
      </c>
      <c r="D34" s="5" t="s">
        <v>647</v>
      </c>
      <c r="E34" s="49" t="s">
        <v>648</v>
      </c>
      <c r="F34" s="51"/>
      <c r="G34" s="48"/>
      <c r="H34" s="5" t="s">
        <v>649</v>
      </c>
    </row>
    <row r="35" spans="2:8" ht="49.5" customHeight="1" x14ac:dyDescent="0.3">
      <c r="B35" s="25" t="s">
        <v>602</v>
      </c>
      <c r="C35" s="6" t="s">
        <v>650</v>
      </c>
      <c r="D35" s="6" t="s">
        <v>651</v>
      </c>
      <c r="E35" s="47" t="s">
        <v>652</v>
      </c>
      <c r="F35" s="51"/>
      <c r="G35" s="48"/>
      <c r="H35" s="6" t="s">
        <v>653</v>
      </c>
    </row>
    <row r="36" spans="2:8" ht="20.55" customHeight="1" x14ac:dyDescent="0.3">
      <c r="B36" s="20" t="s">
        <v>616</v>
      </c>
      <c r="C36" s="5" t="s">
        <v>650</v>
      </c>
      <c r="D36" s="5" t="s">
        <v>647</v>
      </c>
      <c r="E36" s="49" t="s">
        <v>648</v>
      </c>
      <c r="F36" s="51"/>
      <c r="G36" s="48"/>
      <c r="H36" s="5" t="s">
        <v>654</v>
      </c>
    </row>
    <row r="37" spans="2:8" ht="64.05" customHeight="1" x14ac:dyDescent="0.3">
      <c r="B37" s="25" t="s">
        <v>655</v>
      </c>
      <c r="C37" s="6" t="s">
        <v>656</v>
      </c>
      <c r="D37" s="6" t="s">
        <v>657</v>
      </c>
      <c r="E37" s="47" t="s">
        <v>658</v>
      </c>
      <c r="F37" s="51"/>
      <c r="G37" s="48"/>
      <c r="H37" s="6" t="s">
        <v>659</v>
      </c>
    </row>
    <row r="38" spans="2:8" ht="49.5" customHeight="1" x14ac:dyDescent="0.3">
      <c r="B38" s="20" t="s">
        <v>660</v>
      </c>
      <c r="C38" s="5" t="s">
        <v>661</v>
      </c>
      <c r="D38" s="5" t="s">
        <v>662</v>
      </c>
      <c r="E38" s="49" t="s">
        <v>663</v>
      </c>
      <c r="F38" s="51"/>
      <c r="G38" s="48"/>
      <c r="H38" s="5" t="s">
        <v>664</v>
      </c>
    </row>
    <row r="39" spans="2:8" ht="34.950000000000003" customHeight="1" x14ac:dyDescent="0.3">
      <c r="B39" s="25" t="s">
        <v>665</v>
      </c>
      <c r="C39" s="6" t="s">
        <v>661</v>
      </c>
      <c r="D39" s="6" t="s">
        <v>666</v>
      </c>
      <c r="E39" s="47" t="s">
        <v>667</v>
      </c>
      <c r="F39" s="51"/>
      <c r="G39" s="48"/>
      <c r="H39" s="6" t="s">
        <v>668</v>
      </c>
    </row>
    <row r="40" spans="2:8" ht="49.5" customHeight="1" x14ac:dyDescent="0.3">
      <c r="B40" s="20" t="s">
        <v>669</v>
      </c>
      <c r="C40" s="5" t="s">
        <v>656</v>
      </c>
      <c r="D40" s="5" t="s">
        <v>670</v>
      </c>
      <c r="E40" s="49" t="s">
        <v>671</v>
      </c>
      <c r="F40" s="51"/>
      <c r="G40" s="48"/>
      <c r="H40" s="5" t="s">
        <v>672</v>
      </c>
    </row>
    <row r="41" spans="2:8" ht="34.950000000000003" customHeight="1" x14ac:dyDescent="0.3">
      <c r="B41" s="25" t="s">
        <v>673</v>
      </c>
      <c r="C41" s="6" t="s">
        <v>674</v>
      </c>
      <c r="D41" s="6" t="s">
        <v>675</v>
      </c>
      <c r="E41" s="47" t="s">
        <v>676</v>
      </c>
      <c r="F41" s="51"/>
      <c r="G41" s="48"/>
      <c r="H41" s="6" t="s">
        <v>677</v>
      </c>
    </row>
    <row r="42" spans="2:8" ht="61.95" customHeight="1" x14ac:dyDescent="0.3">
      <c r="B42" s="20" t="s">
        <v>678</v>
      </c>
      <c r="C42" s="5" t="s">
        <v>679</v>
      </c>
      <c r="D42" s="5" t="s">
        <v>680</v>
      </c>
      <c r="E42" s="49" t="s">
        <v>681</v>
      </c>
      <c r="F42" s="51"/>
      <c r="G42" s="48"/>
      <c r="H42" s="5" t="s">
        <v>682</v>
      </c>
    </row>
    <row r="43" spans="2:8" ht="49.5" customHeight="1" x14ac:dyDescent="0.3">
      <c r="B43" s="25" t="s">
        <v>683</v>
      </c>
      <c r="C43" s="6" t="s">
        <v>684</v>
      </c>
      <c r="D43" s="6" t="s">
        <v>685</v>
      </c>
      <c r="E43" s="47" t="s">
        <v>686</v>
      </c>
      <c r="F43" s="51"/>
      <c r="G43" s="48"/>
      <c r="H43" s="6" t="s">
        <v>687</v>
      </c>
    </row>
    <row r="44" spans="2:8" ht="49.5" customHeight="1" x14ac:dyDescent="0.3">
      <c r="B44" s="20" t="s">
        <v>688</v>
      </c>
      <c r="C44" s="5" t="s">
        <v>689</v>
      </c>
      <c r="D44" s="5" t="s">
        <v>690</v>
      </c>
      <c r="E44" s="49" t="s">
        <v>691</v>
      </c>
      <c r="F44" s="51"/>
      <c r="G44" s="48"/>
      <c r="H44" s="5" t="s">
        <v>692</v>
      </c>
    </row>
    <row r="45" spans="2:8" ht="64.05" customHeight="1" x14ac:dyDescent="0.3">
      <c r="B45" s="25" t="s">
        <v>693</v>
      </c>
      <c r="C45" s="6" t="s">
        <v>694</v>
      </c>
      <c r="D45" s="6" t="s">
        <v>695</v>
      </c>
      <c r="E45" s="47" t="s">
        <v>696</v>
      </c>
      <c r="F45" s="51"/>
      <c r="G45" s="48"/>
      <c r="H45" s="6" t="s">
        <v>697</v>
      </c>
    </row>
    <row r="46" spans="2:8" ht="61.95" customHeight="1" x14ac:dyDescent="0.3">
      <c r="B46" s="20" t="s">
        <v>698</v>
      </c>
      <c r="C46" s="5" t="s">
        <v>694</v>
      </c>
      <c r="D46" s="5" t="s">
        <v>699</v>
      </c>
      <c r="E46" s="49" t="s">
        <v>700</v>
      </c>
      <c r="F46" s="51"/>
      <c r="G46" s="48"/>
      <c r="H46" s="5" t="s">
        <v>701</v>
      </c>
    </row>
    <row r="47" spans="2:8" ht="61.95" customHeight="1" x14ac:dyDescent="0.3">
      <c r="B47" s="25" t="s">
        <v>702</v>
      </c>
      <c r="C47" s="6" t="s">
        <v>694</v>
      </c>
      <c r="D47" s="6" t="s">
        <v>703</v>
      </c>
      <c r="E47" s="47" t="s">
        <v>704</v>
      </c>
      <c r="F47" s="51"/>
      <c r="G47" s="48"/>
      <c r="H47" s="6" t="s">
        <v>705</v>
      </c>
    </row>
    <row r="48" spans="2:8" ht="7.95" customHeight="1" x14ac:dyDescent="0.3"/>
    <row r="49" spans="2:8" ht="10.050000000000001" customHeight="1" x14ac:dyDescent="0.3"/>
    <row r="50" spans="2:8" ht="25.35" customHeight="1" x14ac:dyDescent="0.3">
      <c r="B50" s="54" t="s">
        <v>706</v>
      </c>
      <c r="C50" s="53"/>
      <c r="D50" s="53"/>
      <c r="E50" s="53"/>
      <c r="F50" s="53"/>
      <c r="G50" s="53"/>
      <c r="H50" s="53"/>
    </row>
    <row r="51" spans="2:8" ht="4.05" customHeight="1" x14ac:dyDescent="0.3"/>
    <row r="52" spans="2:8" ht="213" customHeight="1" x14ac:dyDescent="0.3">
      <c r="B52" s="69" t="s">
        <v>707</v>
      </c>
      <c r="C52" s="56"/>
      <c r="D52" s="56"/>
      <c r="E52" s="56"/>
      <c r="F52" s="56"/>
      <c r="G52" s="56"/>
      <c r="H52" s="57"/>
    </row>
    <row r="53" spans="2:8" ht="6" customHeight="1" x14ac:dyDescent="0.3"/>
    <row r="54" spans="2:8" ht="22.5" customHeight="1" x14ac:dyDescent="0.3">
      <c r="B54" s="58" t="s">
        <v>324</v>
      </c>
      <c r="C54" s="48"/>
      <c r="D54" s="58" t="s">
        <v>431</v>
      </c>
      <c r="E54" s="51"/>
      <c r="F54" s="48"/>
      <c r="G54" s="58" t="s">
        <v>432</v>
      </c>
      <c r="H54" s="48"/>
    </row>
    <row r="55" spans="2:8" ht="78.45" customHeight="1" x14ac:dyDescent="0.3">
      <c r="B55" s="68" t="s">
        <v>708</v>
      </c>
      <c r="C55" s="48"/>
      <c r="D55" s="49" t="s">
        <v>709</v>
      </c>
      <c r="E55" s="51"/>
      <c r="F55" s="48"/>
      <c r="G55" s="49" t="s">
        <v>710</v>
      </c>
      <c r="H55" s="48"/>
    </row>
    <row r="56" spans="2:8" ht="78.45" customHeight="1" x14ac:dyDescent="0.3">
      <c r="B56" s="68" t="s">
        <v>711</v>
      </c>
      <c r="C56" s="48"/>
      <c r="D56" s="47" t="s">
        <v>712</v>
      </c>
      <c r="E56" s="51"/>
      <c r="F56" s="48"/>
      <c r="G56" s="47" t="s">
        <v>713</v>
      </c>
      <c r="H56" s="48"/>
    </row>
    <row r="57" spans="2:8" ht="20.55" customHeight="1" x14ac:dyDescent="0.3">
      <c r="B57" s="68" t="s">
        <v>714</v>
      </c>
      <c r="C57" s="48"/>
      <c r="D57" s="49" t="s">
        <v>715</v>
      </c>
      <c r="E57" s="51"/>
      <c r="F57" s="48"/>
      <c r="G57" s="49" t="s">
        <v>716</v>
      </c>
      <c r="H57" s="48"/>
    </row>
    <row r="58" spans="2:8" ht="7.95" customHeight="1" x14ac:dyDescent="0.3"/>
    <row r="59" spans="2:8" ht="20.55" customHeight="1" x14ac:dyDescent="0.3">
      <c r="B59" s="62" t="s">
        <v>717</v>
      </c>
      <c r="C59" s="53"/>
      <c r="D59" s="53"/>
      <c r="E59" s="53"/>
      <c r="F59" s="53"/>
      <c r="G59" s="53"/>
      <c r="H59" s="53"/>
    </row>
    <row r="60" spans="2:8" ht="4.05" customHeight="1" x14ac:dyDescent="0.3"/>
    <row r="61" spans="2:8" ht="10.050000000000001" customHeight="1" x14ac:dyDescent="0.3"/>
    <row r="62" spans="2:8" ht="25.35" customHeight="1" x14ac:dyDescent="0.3">
      <c r="B62" s="54" t="s">
        <v>718</v>
      </c>
      <c r="C62" s="53"/>
      <c r="D62" s="53"/>
      <c r="E62" s="53"/>
      <c r="F62" s="53"/>
      <c r="G62" s="53"/>
      <c r="H62" s="53"/>
    </row>
    <row r="63" spans="2:8" ht="4.05" customHeight="1" x14ac:dyDescent="0.3"/>
    <row r="64" spans="2:8" ht="34.049999999999997" customHeight="1" x14ac:dyDescent="0.3">
      <c r="B64" s="52" t="s">
        <v>719</v>
      </c>
      <c r="C64" s="53"/>
      <c r="D64" s="53"/>
      <c r="E64" s="53"/>
      <c r="F64" s="53"/>
      <c r="G64" s="53"/>
      <c r="H64" s="53"/>
    </row>
    <row r="65" spans="2:8" ht="34.049999999999997" customHeight="1" x14ac:dyDescent="0.3">
      <c r="B65" s="52" t="s">
        <v>720</v>
      </c>
      <c r="C65" s="53"/>
      <c r="D65" s="53"/>
      <c r="E65" s="53"/>
      <c r="F65" s="53"/>
      <c r="G65" s="53"/>
      <c r="H65" s="53"/>
    </row>
    <row r="66" spans="2:8" ht="34.049999999999997" customHeight="1" x14ac:dyDescent="0.3">
      <c r="B66" s="52" t="s">
        <v>721</v>
      </c>
      <c r="C66" s="53"/>
      <c r="D66" s="53"/>
      <c r="E66" s="53"/>
      <c r="F66" s="53"/>
      <c r="G66" s="53"/>
      <c r="H66" s="53"/>
    </row>
    <row r="67" spans="2:8" ht="4.05" customHeight="1" x14ac:dyDescent="0.3"/>
  </sheetData>
  <mergeCells count="56">
    <mergeCell ref="B2:H2"/>
    <mergeCell ref="D57:F57"/>
    <mergeCell ref="B9:C9"/>
    <mergeCell ref="E43:G43"/>
    <mergeCell ref="D9:H9"/>
    <mergeCell ref="G55:H55"/>
    <mergeCell ref="B3:G3"/>
    <mergeCell ref="B55:C55"/>
    <mergeCell ref="E42:G42"/>
    <mergeCell ref="B15:C15"/>
    <mergeCell ref="E33:G33"/>
    <mergeCell ref="G54:H54"/>
    <mergeCell ref="B20:C20"/>
    <mergeCell ref="E39:G39"/>
    <mergeCell ref="E35:G35"/>
    <mergeCell ref="E44:G44"/>
    <mergeCell ref="B66:H66"/>
    <mergeCell ref="E41:G41"/>
    <mergeCell ref="B27:H27"/>
    <mergeCell ref="B52:H52"/>
    <mergeCell ref="B19:C19"/>
    <mergeCell ref="E37:G37"/>
    <mergeCell ref="E47:G47"/>
    <mergeCell ref="D54:F54"/>
    <mergeCell ref="E29:G29"/>
    <mergeCell ref="G56:H56"/>
    <mergeCell ref="E38:G38"/>
    <mergeCell ref="B5:H5"/>
    <mergeCell ref="B56:C56"/>
    <mergeCell ref="E46:G46"/>
    <mergeCell ref="B50:H50"/>
    <mergeCell ref="E36:G36"/>
    <mergeCell ref="E45:G45"/>
    <mergeCell ref="D56:F56"/>
    <mergeCell ref="B14:C14"/>
    <mergeCell ref="B7:H7"/>
    <mergeCell ref="B25:H25"/>
    <mergeCell ref="B17:C17"/>
    <mergeCell ref="D55:F55"/>
    <mergeCell ref="E32:G32"/>
    <mergeCell ref="B12:H12"/>
    <mergeCell ref="B16:C16"/>
    <mergeCell ref="B54:C54"/>
    <mergeCell ref="B65:H65"/>
    <mergeCell ref="E31:G31"/>
    <mergeCell ref="B22:C22"/>
    <mergeCell ref="E34:G34"/>
    <mergeCell ref="E40:G40"/>
    <mergeCell ref="B64:H64"/>
    <mergeCell ref="E30:G30"/>
    <mergeCell ref="B18:C18"/>
    <mergeCell ref="D22:H22"/>
    <mergeCell ref="G57:H57"/>
    <mergeCell ref="B62:H62"/>
    <mergeCell ref="B57:C57"/>
    <mergeCell ref="B59:H59"/>
  </mergeCells>
  <phoneticPr fontId="13"/>
  <hyperlinks>
    <hyperlink ref="H3" location="'00_表紙'!A1" display="◀ 目次へ戻る" xr:uid="{00000000-0004-0000-06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FBFBF"/>
    <pageSetUpPr fitToPage="1"/>
  </sheetPr>
  <dimension ref="B1:L89"/>
  <sheetViews>
    <sheetView showGridLines="0" workbookViewId="0">
      <pane ySplit="3" topLeftCell="A4" activePane="bottomLeft" state="frozen"/>
      <selection pane="bottomLeft"/>
    </sheetView>
  </sheetViews>
  <sheetFormatPr defaultRowHeight="14.4" x14ac:dyDescent="0.3"/>
  <cols>
    <col min="1" max="1" width="2.453125" customWidth="1"/>
    <col min="2" max="2" width="26" customWidth="1"/>
    <col min="3" max="9" width="9" customWidth="1"/>
    <col min="10" max="10" width="11" customWidth="1"/>
    <col min="11" max="11" width="8" customWidth="1"/>
    <col min="12" max="12" width="36" customWidth="1"/>
    <col min="13" max="13" width="2.453125" customWidth="1"/>
  </cols>
  <sheetData>
    <row r="1" spans="2:12" ht="7.95" customHeight="1" x14ac:dyDescent="0.3"/>
    <row r="2" spans="2:12" ht="36" customHeight="1" x14ac:dyDescent="0.3">
      <c r="B2" s="61" t="s">
        <v>722</v>
      </c>
      <c r="C2" s="53"/>
      <c r="D2" s="53"/>
      <c r="E2" s="53"/>
      <c r="F2" s="53"/>
      <c r="G2" s="53"/>
      <c r="H2" s="53"/>
      <c r="I2" s="53"/>
      <c r="J2" s="53"/>
      <c r="K2" s="53"/>
      <c r="L2" s="53"/>
    </row>
    <row r="3" spans="2:12" ht="24" customHeight="1" x14ac:dyDescent="0.3">
      <c r="B3" s="59" t="s">
        <v>723</v>
      </c>
      <c r="C3" s="53"/>
      <c r="D3" s="53"/>
      <c r="E3" s="53"/>
      <c r="F3" s="53"/>
      <c r="G3" s="53"/>
      <c r="H3" s="53"/>
      <c r="I3" s="53"/>
      <c r="J3" s="53"/>
      <c r="K3" s="53"/>
      <c r="L3" s="7" t="s">
        <v>57</v>
      </c>
    </row>
    <row r="4" spans="2:12" ht="7.95" customHeight="1" x14ac:dyDescent="0.3"/>
    <row r="5" spans="2:12" ht="25.35" customHeight="1" x14ac:dyDescent="0.3">
      <c r="B5" s="54" t="s">
        <v>724</v>
      </c>
      <c r="C5" s="53"/>
      <c r="D5" s="53"/>
      <c r="E5" s="53"/>
      <c r="F5" s="53"/>
      <c r="G5" s="53"/>
      <c r="H5" s="53"/>
      <c r="I5" s="53"/>
      <c r="J5" s="53"/>
      <c r="K5" s="53"/>
      <c r="L5" s="53"/>
    </row>
    <row r="6" spans="2:12" ht="4.05" customHeight="1" x14ac:dyDescent="0.3"/>
    <row r="7" spans="2:12" ht="33" customHeight="1" x14ac:dyDescent="0.3">
      <c r="B7" s="1" t="s">
        <v>724</v>
      </c>
      <c r="C7" s="50" t="s">
        <v>725</v>
      </c>
      <c r="D7" s="51"/>
      <c r="E7" s="51"/>
      <c r="F7" s="51"/>
      <c r="G7" s="51"/>
      <c r="H7" s="51"/>
      <c r="I7" s="51"/>
      <c r="J7" s="51"/>
      <c r="K7" s="51"/>
      <c r="L7" s="48"/>
    </row>
    <row r="8" spans="2:12" ht="34.950000000000003" customHeight="1" x14ac:dyDescent="0.3">
      <c r="B8" s="1" t="s">
        <v>726</v>
      </c>
      <c r="C8" s="50" t="s">
        <v>727</v>
      </c>
      <c r="D8" s="51"/>
      <c r="E8" s="51"/>
      <c r="F8" s="51"/>
      <c r="G8" s="51"/>
      <c r="H8" s="51"/>
      <c r="I8" s="51"/>
      <c r="J8" s="51"/>
      <c r="K8" s="51"/>
      <c r="L8" s="48"/>
    </row>
    <row r="9" spans="2:12" ht="20.55" customHeight="1" x14ac:dyDescent="0.3">
      <c r="B9" s="1" t="s">
        <v>728</v>
      </c>
      <c r="C9" s="50" t="s">
        <v>729</v>
      </c>
      <c r="D9" s="51"/>
      <c r="E9" s="51"/>
      <c r="F9" s="51"/>
      <c r="G9" s="51"/>
      <c r="H9" s="51"/>
      <c r="I9" s="51"/>
      <c r="J9" s="51"/>
      <c r="K9" s="51"/>
      <c r="L9" s="48"/>
    </row>
    <row r="10" spans="2:12" ht="34.950000000000003" customHeight="1" x14ac:dyDescent="0.3">
      <c r="B10" s="1" t="s">
        <v>730</v>
      </c>
      <c r="C10" s="50" t="s">
        <v>731</v>
      </c>
      <c r="D10" s="51"/>
      <c r="E10" s="51"/>
      <c r="F10" s="51"/>
      <c r="G10" s="51"/>
      <c r="H10" s="51"/>
      <c r="I10" s="51"/>
      <c r="J10" s="51"/>
      <c r="K10" s="51"/>
      <c r="L10" s="48"/>
    </row>
    <row r="11" spans="2:12" ht="20.55" customHeight="1" x14ac:dyDescent="0.3">
      <c r="B11" s="1" t="s">
        <v>17</v>
      </c>
      <c r="C11" s="50" t="s">
        <v>732</v>
      </c>
      <c r="D11" s="51"/>
      <c r="E11" s="51"/>
      <c r="F11" s="51"/>
      <c r="G11" s="51"/>
      <c r="H11" s="51"/>
      <c r="I11" s="51"/>
      <c r="J11" s="51"/>
      <c r="K11" s="51"/>
      <c r="L11" s="48"/>
    </row>
    <row r="12" spans="2:12" ht="6" customHeight="1" x14ac:dyDescent="0.3"/>
    <row r="13" spans="2:12" ht="10.050000000000001" customHeight="1" x14ac:dyDescent="0.3"/>
    <row r="14" spans="2:12" ht="25.35" customHeight="1" x14ac:dyDescent="0.3">
      <c r="B14" s="54" t="s">
        <v>733</v>
      </c>
      <c r="C14" s="53"/>
      <c r="D14" s="53"/>
      <c r="E14" s="53"/>
      <c r="F14" s="53"/>
      <c r="G14" s="53"/>
      <c r="H14" s="53"/>
      <c r="I14" s="53"/>
      <c r="J14" s="53"/>
      <c r="K14" s="53"/>
      <c r="L14" s="53"/>
    </row>
    <row r="15" spans="2:12" ht="4.05" customHeight="1" x14ac:dyDescent="0.3"/>
    <row r="16" spans="2:12" ht="22.5" customHeight="1" x14ac:dyDescent="0.3">
      <c r="B16" s="3" t="s">
        <v>473</v>
      </c>
      <c r="C16" s="3" t="s">
        <v>734</v>
      </c>
      <c r="D16" s="58" t="s">
        <v>735</v>
      </c>
      <c r="E16" s="51"/>
      <c r="F16" s="51"/>
      <c r="G16" s="51"/>
      <c r="H16" s="51"/>
      <c r="I16" s="51"/>
      <c r="J16" s="51"/>
      <c r="K16" s="48"/>
      <c r="L16" s="3" t="s">
        <v>17</v>
      </c>
    </row>
    <row r="17" spans="2:12" ht="20.55" customHeight="1" x14ac:dyDescent="0.3">
      <c r="B17" s="8" t="s">
        <v>736</v>
      </c>
      <c r="C17" s="20" t="s">
        <v>737</v>
      </c>
      <c r="D17" s="49" t="s">
        <v>738</v>
      </c>
      <c r="E17" s="51"/>
      <c r="F17" s="51"/>
      <c r="G17" s="51"/>
      <c r="H17" s="51"/>
      <c r="I17" s="51"/>
      <c r="J17" s="51"/>
      <c r="K17" s="48"/>
      <c r="L17" s="5" t="s">
        <v>739</v>
      </c>
    </row>
    <row r="18" spans="2:12" ht="34.950000000000003" customHeight="1" x14ac:dyDescent="0.3">
      <c r="B18" s="8" t="s">
        <v>740</v>
      </c>
      <c r="C18" s="25" t="s">
        <v>737</v>
      </c>
      <c r="D18" s="47" t="s">
        <v>741</v>
      </c>
      <c r="E18" s="51"/>
      <c r="F18" s="51"/>
      <c r="G18" s="51"/>
      <c r="H18" s="51"/>
      <c r="I18" s="51"/>
      <c r="J18" s="51"/>
      <c r="K18" s="48"/>
      <c r="L18" s="6" t="s">
        <v>742</v>
      </c>
    </row>
    <row r="19" spans="2:12" ht="20.55" customHeight="1" x14ac:dyDescent="0.3">
      <c r="B19" s="8" t="s">
        <v>743</v>
      </c>
      <c r="C19" s="20" t="s">
        <v>737</v>
      </c>
      <c r="D19" s="49" t="s">
        <v>744</v>
      </c>
      <c r="E19" s="51"/>
      <c r="F19" s="51"/>
      <c r="G19" s="51"/>
      <c r="H19" s="51"/>
      <c r="I19" s="51"/>
      <c r="J19" s="51"/>
      <c r="K19" s="48"/>
      <c r="L19" s="5" t="s">
        <v>745</v>
      </c>
    </row>
    <row r="20" spans="2:12" ht="20.55" customHeight="1" x14ac:dyDescent="0.3">
      <c r="B20" s="8" t="s">
        <v>746</v>
      </c>
      <c r="C20" s="25" t="s">
        <v>737</v>
      </c>
      <c r="D20" s="47" t="s">
        <v>747</v>
      </c>
      <c r="E20" s="51"/>
      <c r="F20" s="51"/>
      <c r="G20" s="51"/>
      <c r="H20" s="51"/>
      <c r="I20" s="51"/>
      <c r="J20" s="51"/>
      <c r="K20" s="48"/>
      <c r="L20" s="6" t="s">
        <v>748</v>
      </c>
    </row>
    <row r="21" spans="2:12" ht="34.950000000000003" customHeight="1" x14ac:dyDescent="0.3">
      <c r="B21" s="8" t="s">
        <v>749</v>
      </c>
      <c r="C21" s="20" t="s">
        <v>750</v>
      </c>
      <c r="D21" s="49" t="s">
        <v>751</v>
      </c>
      <c r="E21" s="51"/>
      <c r="F21" s="51"/>
      <c r="G21" s="51"/>
      <c r="H21" s="51"/>
      <c r="I21" s="51"/>
      <c r="J21" s="51"/>
      <c r="K21" s="48"/>
      <c r="L21" s="5" t="s">
        <v>752</v>
      </c>
    </row>
    <row r="22" spans="2:12" ht="20.55" customHeight="1" x14ac:dyDescent="0.3">
      <c r="B22" s="8" t="s">
        <v>753</v>
      </c>
      <c r="C22" s="25" t="s">
        <v>750</v>
      </c>
      <c r="D22" s="47" t="s">
        <v>754</v>
      </c>
      <c r="E22" s="51"/>
      <c r="F22" s="51"/>
      <c r="G22" s="51"/>
      <c r="H22" s="51"/>
      <c r="I22" s="51"/>
      <c r="J22" s="51"/>
      <c r="K22" s="48"/>
      <c r="L22" s="6" t="s">
        <v>755</v>
      </c>
    </row>
    <row r="23" spans="2:12" ht="34.950000000000003" customHeight="1" x14ac:dyDescent="0.3">
      <c r="B23" s="8" t="s">
        <v>756</v>
      </c>
      <c r="C23" s="20" t="s">
        <v>737</v>
      </c>
      <c r="D23" s="49" t="s">
        <v>757</v>
      </c>
      <c r="E23" s="51"/>
      <c r="F23" s="51"/>
      <c r="G23" s="51"/>
      <c r="H23" s="51"/>
      <c r="I23" s="51"/>
      <c r="J23" s="51"/>
      <c r="K23" s="48"/>
      <c r="L23" s="5" t="s">
        <v>758</v>
      </c>
    </row>
    <row r="24" spans="2:12" ht="20.55" customHeight="1" x14ac:dyDescent="0.3">
      <c r="B24" s="8" t="s">
        <v>759</v>
      </c>
      <c r="C24" s="25" t="s">
        <v>760</v>
      </c>
      <c r="D24" s="47" t="s">
        <v>761</v>
      </c>
      <c r="E24" s="51"/>
      <c r="F24" s="51"/>
      <c r="G24" s="51"/>
      <c r="H24" s="51"/>
      <c r="I24" s="51"/>
      <c r="J24" s="51"/>
      <c r="K24" s="48"/>
      <c r="L24" s="6" t="s">
        <v>762</v>
      </c>
    </row>
    <row r="25" spans="2:12" ht="20.55" customHeight="1" x14ac:dyDescent="0.3">
      <c r="B25" s="8" t="s">
        <v>763</v>
      </c>
      <c r="C25" s="20" t="s">
        <v>760</v>
      </c>
      <c r="D25" s="49" t="s">
        <v>764</v>
      </c>
      <c r="E25" s="51"/>
      <c r="F25" s="51"/>
      <c r="G25" s="51"/>
      <c r="H25" s="51"/>
      <c r="I25" s="51"/>
      <c r="J25" s="51"/>
      <c r="K25" s="48"/>
      <c r="L25" s="5" t="s">
        <v>765</v>
      </c>
    </row>
    <row r="26" spans="2:12" ht="20.55" customHeight="1" x14ac:dyDescent="0.3">
      <c r="B26" s="8" t="s">
        <v>766</v>
      </c>
      <c r="C26" s="25" t="s">
        <v>760</v>
      </c>
      <c r="D26" s="47" t="s">
        <v>767</v>
      </c>
      <c r="E26" s="51"/>
      <c r="F26" s="51"/>
      <c r="G26" s="51"/>
      <c r="H26" s="51"/>
      <c r="I26" s="51"/>
      <c r="J26" s="51"/>
      <c r="K26" s="48"/>
      <c r="L26" s="6" t="s">
        <v>768</v>
      </c>
    </row>
    <row r="27" spans="2:12" ht="34.950000000000003" customHeight="1" x14ac:dyDescent="0.3">
      <c r="B27" s="8" t="s">
        <v>769</v>
      </c>
      <c r="C27" s="20" t="s">
        <v>750</v>
      </c>
      <c r="D27" s="49" t="s">
        <v>770</v>
      </c>
      <c r="E27" s="51"/>
      <c r="F27" s="51"/>
      <c r="G27" s="51"/>
      <c r="H27" s="51"/>
      <c r="I27" s="51"/>
      <c r="J27" s="51"/>
      <c r="K27" s="48"/>
      <c r="L27" s="5" t="s">
        <v>771</v>
      </c>
    </row>
    <row r="28" spans="2:12" ht="7.95" customHeight="1" x14ac:dyDescent="0.3"/>
    <row r="29" spans="2:12" ht="10.050000000000001" customHeight="1" x14ac:dyDescent="0.3"/>
    <row r="30" spans="2:12" ht="25.35" customHeight="1" x14ac:dyDescent="0.3">
      <c r="B30" s="54" t="s">
        <v>772</v>
      </c>
      <c r="C30" s="53"/>
      <c r="D30" s="53"/>
      <c r="E30" s="53"/>
      <c r="F30" s="53"/>
      <c r="G30" s="53"/>
      <c r="H30" s="53"/>
      <c r="I30" s="53"/>
      <c r="J30" s="53"/>
      <c r="K30" s="53"/>
      <c r="L30" s="53"/>
    </row>
    <row r="31" spans="2:12" ht="4.05" customHeight="1" x14ac:dyDescent="0.3"/>
    <row r="32" spans="2:12" ht="19.5" customHeight="1" x14ac:dyDescent="0.3">
      <c r="B32" s="52" t="s">
        <v>773</v>
      </c>
      <c r="C32" s="53"/>
      <c r="D32" s="53"/>
      <c r="E32" s="53"/>
      <c r="F32" s="53"/>
      <c r="G32" s="53"/>
      <c r="H32" s="53"/>
      <c r="I32" s="53"/>
      <c r="J32" s="53"/>
      <c r="K32" s="53"/>
      <c r="L32" s="53"/>
    </row>
    <row r="33" spans="2:12" ht="19.5" customHeight="1" x14ac:dyDescent="0.3">
      <c r="B33" s="52" t="s">
        <v>774</v>
      </c>
      <c r="C33" s="53"/>
      <c r="D33" s="53"/>
      <c r="E33" s="53"/>
      <c r="F33" s="53"/>
      <c r="G33" s="53"/>
      <c r="H33" s="53"/>
      <c r="I33" s="53"/>
      <c r="J33" s="53"/>
      <c r="K33" s="53"/>
      <c r="L33" s="53"/>
    </row>
    <row r="34" spans="2:12" ht="19.5" customHeight="1" x14ac:dyDescent="0.3">
      <c r="B34" s="52" t="s">
        <v>775</v>
      </c>
      <c r="C34" s="53"/>
      <c r="D34" s="53"/>
      <c r="E34" s="53"/>
      <c r="F34" s="53"/>
      <c r="G34" s="53"/>
      <c r="H34" s="53"/>
      <c r="I34" s="53"/>
      <c r="J34" s="53"/>
      <c r="K34" s="53"/>
      <c r="L34" s="53"/>
    </row>
    <row r="35" spans="2:12" ht="19.5" customHeight="1" x14ac:dyDescent="0.3">
      <c r="B35" s="52" t="s">
        <v>776</v>
      </c>
      <c r="C35" s="53"/>
      <c r="D35" s="53"/>
      <c r="E35" s="53"/>
      <c r="F35" s="53"/>
      <c r="G35" s="53"/>
      <c r="H35" s="53"/>
      <c r="I35" s="53"/>
      <c r="J35" s="53"/>
      <c r="K35" s="53"/>
      <c r="L35" s="53"/>
    </row>
    <row r="36" spans="2:12" ht="19.5" customHeight="1" x14ac:dyDescent="0.3">
      <c r="B36" s="52" t="s">
        <v>777</v>
      </c>
      <c r="C36" s="53"/>
      <c r="D36" s="53"/>
      <c r="E36" s="53"/>
      <c r="F36" s="53"/>
      <c r="G36" s="53"/>
      <c r="H36" s="53"/>
      <c r="I36" s="53"/>
      <c r="J36" s="53"/>
      <c r="K36" s="53"/>
      <c r="L36" s="53"/>
    </row>
    <row r="37" spans="2:12" ht="19.5" customHeight="1" x14ac:dyDescent="0.3">
      <c r="B37" s="52" t="s">
        <v>778</v>
      </c>
      <c r="C37" s="53"/>
      <c r="D37" s="53"/>
      <c r="E37" s="53"/>
      <c r="F37" s="53"/>
      <c r="G37" s="53"/>
      <c r="H37" s="53"/>
      <c r="I37" s="53"/>
      <c r="J37" s="53"/>
      <c r="K37" s="53"/>
      <c r="L37" s="53"/>
    </row>
    <row r="38" spans="2:12" ht="19.5" customHeight="1" x14ac:dyDescent="0.3">
      <c r="B38" s="52" t="s">
        <v>779</v>
      </c>
      <c r="C38" s="53"/>
      <c r="D38" s="53"/>
      <c r="E38" s="53"/>
      <c r="F38" s="53"/>
      <c r="G38" s="53"/>
      <c r="H38" s="53"/>
      <c r="I38" s="53"/>
      <c r="J38" s="53"/>
      <c r="K38" s="53"/>
      <c r="L38" s="53"/>
    </row>
    <row r="39" spans="2:12" ht="19.5" customHeight="1" x14ac:dyDescent="0.3">
      <c r="B39" s="52" t="s">
        <v>780</v>
      </c>
      <c r="C39" s="53"/>
      <c r="D39" s="53"/>
      <c r="E39" s="53"/>
      <c r="F39" s="53"/>
      <c r="G39" s="53"/>
      <c r="H39" s="53"/>
      <c r="I39" s="53"/>
      <c r="J39" s="53"/>
      <c r="K39" s="53"/>
      <c r="L39" s="53"/>
    </row>
    <row r="40" spans="2:12" ht="19.5" customHeight="1" x14ac:dyDescent="0.3">
      <c r="B40" s="52" t="s">
        <v>781</v>
      </c>
      <c r="C40" s="53"/>
      <c r="D40" s="53"/>
      <c r="E40" s="53"/>
      <c r="F40" s="53"/>
      <c r="G40" s="53"/>
      <c r="H40" s="53"/>
      <c r="I40" s="53"/>
      <c r="J40" s="53"/>
      <c r="K40" s="53"/>
      <c r="L40" s="53"/>
    </row>
    <row r="41" spans="2:12" ht="4.05" customHeight="1" x14ac:dyDescent="0.3"/>
    <row r="42" spans="2:12" ht="10.050000000000001" customHeight="1" x14ac:dyDescent="0.3"/>
    <row r="43" spans="2:12" ht="25.35" customHeight="1" x14ac:dyDescent="0.3">
      <c r="B43" s="54" t="s">
        <v>782</v>
      </c>
      <c r="C43" s="53"/>
      <c r="D43" s="53"/>
      <c r="E43" s="53"/>
      <c r="F43" s="53"/>
      <c r="G43" s="53"/>
      <c r="H43" s="53"/>
      <c r="I43" s="53"/>
      <c r="J43" s="53"/>
      <c r="K43" s="53"/>
      <c r="L43" s="53"/>
    </row>
    <row r="44" spans="2:12" ht="4.05" customHeight="1" x14ac:dyDescent="0.3"/>
    <row r="45" spans="2:12" ht="22.5" customHeight="1" x14ac:dyDescent="0.3">
      <c r="B45" s="3" t="s">
        <v>783</v>
      </c>
      <c r="C45" s="58" t="s">
        <v>449</v>
      </c>
      <c r="D45" s="51"/>
      <c r="E45" s="51"/>
      <c r="F45" s="51"/>
      <c r="G45" s="51"/>
      <c r="H45" s="48"/>
      <c r="I45" s="58" t="s">
        <v>784</v>
      </c>
      <c r="J45" s="51"/>
      <c r="K45" s="51"/>
      <c r="L45" s="48"/>
    </row>
    <row r="46" spans="2:12" ht="34.950000000000003" customHeight="1" x14ac:dyDescent="0.3">
      <c r="B46" s="8" t="s">
        <v>785</v>
      </c>
      <c r="C46" s="49" t="s">
        <v>786</v>
      </c>
      <c r="D46" s="51"/>
      <c r="E46" s="51"/>
      <c r="F46" s="51"/>
      <c r="G46" s="51"/>
      <c r="H46" s="48"/>
      <c r="I46" s="49" t="s">
        <v>787</v>
      </c>
      <c r="J46" s="51"/>
      <c r="K46" s="51"/>
      <c r="L46" s="48"/>
    </row>
    <row r="47" spans="2:12" ht="20.55" customHeight="1" x14ac:dyDescent="0.3">
      <c r="B47" s="8" t="s">
        <v>788</v>
      </c>
      <c r="C47" s="47" t="s">
        <v>789</v>
      </c>
      <c r="D47" s="51"/>
      <c r="E47" s="51"/>
      <c r="F47" s="51"/>
      <c r="G47" s="51"/>
      <c r="H47" s="48"/>
      <c r="I47" s="47" t="s">
        <v>790</v>
      </c>
      <c r="J47" s="51"/>
      <c r="K47" s="51"/>
      <c r="L47" s="48"/>
    </row>
    <row r="48" spans="2:12" ht="20.55" customHeight="1" x14ac:dyDescent="0.3">
      <c r="B48" s="8" t="s">
        <v>791</v>
      </c>
      <c r="C48" s="49" t="s">
        <v>792</v>
      </c>
      <c r="D48" s="51"/>
      <c r="E48" s="51"/>
      <c r="F48" s="51"/>
      <c r="G48" s="51"/>
      <c r="H48" s="48"/>
      <c r="I48" s="49" t="s">
        <v>793</v>
      </c>
      <c r="J48" s="51"/>
      <c r="K48" s="51"/>
      <c r="L48" s="48"/>
    </row>
    <row r="49" spans="2:12" ht="20.55" customHeight="1" x14ac:dyDescent="0.3">
      <c r="B49" s="8" t="s">
        <v>794</v>
      </c>
      <c r="C49" s="47" t="s">
        <v>795</v>
      </c>
      <c r="D49" s="51"/>
      <c r="E49" s="51"/>
      <c r="F49" s="51"/>
      <c r="G49" s="51"/>
      <c r="H49" s="48"/>
      <c r="I49" s="47" t="s">
        <v>796</v>
      </c>
      <c r="J49" s="51"/>
      <c r="K49" s="51"/>
      <c r="L49" s="48"/>
    </row>
    <row r="50" spans="2:12" ht="34.950000000000003" customHeight="1" x14ac:dyDescent="0.3">
      <c r="B50" s="8" t="s">
        <v>797</v>
      </c>
      <c r="C50" s="49" t="s">
        <v>798</v>
      </c>
      <c r="D50" s="51"/>
      <c r="E50" s="51"/>
      <c r="F50" s="51"/>
      <c r="G50" s="51"/>
      <c r="H50" s="48"/>
      <c r="I50" s="49" t="s">
        <v>799</v>
      </c>
      <c r="J50" s="51"/>
      <c r="K50" s="51"/>
      <c r="L50" s="48"/>
    </row>
    <row r="51" spans="2:12" ht="33" customHeight="1" x14ac:dyDescent="0.3">
      <c r="B51" s="8" t="s">
        <v>800</v>
      </c>
      <c r="C51" s="47" t="s">
        <v>801</v>
      </c>
      <c r="D51" s="51"/>
      <c r="E51" s="51"/>
      <c r="F51" s="51"/>
      <c r="G51" s="51"/>
      <c r="H51" s="48"/>
      <c r="I51" s="47" t="s">
        <v>802</v>
      </c>
      <c r="J51" s="51"/>
      <c r="K51" s="51"/>
      <c r="L51" s="48"/>
    </row>
    <row r="52" spans="2:12" ht="34.950000000000003" customHeight="1" x14ac:dyDescent="0.3">
      <c r="B52" s="8" t="s">
        <v>803</v>
      </c>
      <c r="C52" s="49" t="s">
        <v>804</v>
      </c>
      <c r="D52" s="51"/>
      <c r="E52" s="51"/>
      <c r="F52" s="51"/>
      <c r="G52" s="51"/>
      <c r="H52" s="48"/>
      <c r="I52" s="49" t="s">
        <v>805</v>
      </c>
      <c r="J52" s="51"/>
      <c r="K52" s="51"/>
      <c r="L52" s="48"/>
    </row>
    <row r="53" spans="2:12" ht="33" customHeight="1" x14ac:dyDescent="0.3">
      <c r="B53" s="8" t="s">
        <v>806</v>
      </c>
      <c r="C53" s="47" t="s">
        <v>807</v>
      </c>
      <c r="D53" s="51"/>
      <c r="E53" s="51"/>
      <c r="F53" s="51"/>
      <c r="G53" s="51"/>
      <c r="H53" s="48"/>
      <c r="I53" s="47" t="s">
        <v>808</v>
      </c>
      <c r="J53" s="51"/>
      <c r="K53" s="51"/>
      <c r="L53" s="48"/>
    </row>
    <row r="54" spans="2:12" ht="20.55" customHeight="1" x14ac:dyDescent="0.3">
      <c r="B54" s="8" t="s">
        <v>809</v>
      </c>
      <c r="C54" s="49" t="s">
        <v>810</v>
      </c>
      <c r="D54" s="51"/>
      <c r="E54" s="51"/>
      <c r="F54" s="51"/>
      <c r="G54" s="51"/>
      <c r="H54" s="48"/>
      <c r="I54" s="49" t="s">
        <v>811</v>
      </c>
      <c r="J54" s="51"/>
      <c r="K54" s="51"/>
      <c r="L54" s="48"/>
    </row>
    <row r="55" spans="2:12" ht="34.950000000000003" customHeight="1" x14ac:dyDescent="0.3">
      <c r="B55" s="8" t="s">
        <v>812</v>
      </c>
      <c r="C55" s="47" t="s">
        <v>813</v>
      </c>
      <c r="D55" s="51"/>
      <c r="E55" s="51"/>
      <c r="F55" s="51"/>
      <c r="G55" s="51"/>
      <c r="H55" s="48"/>
      <c r="I55" s="47" t="s">
        <v>814</v>
      </c>
      <c r="J55" s="51"/>
      <c r="K55" s="51"/>
      <c r="L55" s="48"/>
    </row>
    <row r="56" spans="2:12" ht="20.55" customHeight="1" x14ac:dyDescent="0.3">
      <c r="B56" s="8" t="s">
        <v>815</v>
      </c>
      <c r="C56" s="49" t="s">
        <v>816</v>
      </c>
      <c r="D56" s="51"/>
      <c r="E56" s="51"/>
      <c r="F56" s="51"/>
      <c r="G56" s="51"/>
      <c r="H56" s="48"/>
      <c r="I56" s="49" t="s">
        <v>817</v>
      </c>
      <c r="J56" s="51"/>
      <c r="K56" s="51"/>
      <c r="L56" s="48"/>
    </row>
    <row r="57" spans="2:12" ht="7.95" customHeight="1" x14ac:dyDescent="0.3"/>
    <row r="58" spans="2:12" ht="10.050000000000001" customHeight="1" x14ac:dyDescent="0.3"/>
    <row r="59" spans="2:12" ht="25.35" customHeight="1" x14ac:dyDescent="0.3">
      <c r="B59" s="54" t="s">
        <v>818</v>
      </c>
      <c r="C59" s="53"/>
      <c r="D59" s="53"/>
      <c r="E59" s="53"/>
      <c r="F59" s="53"/>
      <c r="G59" s="53"/>
      <c r="H59" s="53"/>
      <c r="I59" s="53"/>
      <c r="J59" s="53"/>
      <c r="K59" s="53"/>
      <c r="L59" s="53"/>
    </row>
    <row r="60" spans="2:12" ht="4.05" customHeight="1" x14ac:dyDescent="0.3"/>
    <row r="61" spans="2:12" ht="34.950000000000003" customHeight="1" x14ac:dyDescent="0.3">
      <c r="B61" s="62" t="s">
        <v>819</v>
      </c>
      <c r="C61" s="53"/>
      <c r="D61" s="53"/>
      <c r="E61" s="53"/>
      <c r="F61" s="53"/>
      <c r="G61" s="53"/>
      <c r="H61" s="53"/>
      <c r="I61" s="53"/>
      <c r="J61" s="53"/>
      <c r="K61" s="53"/>
      <c r="L61" s="53"/>
    </row>
    <row r="62" spans="2:12" ht="4.05" customHeight="1" x14ac:dyDescent="0.3"/>
    <row r="63" spans="2:12" ht="46.95" customHeight="1" x14ac:dyDescent="0.3">
      <c r="B63" s="3" t="s">
        <v>820</v>
      </c>
      <c r="C63" s="3" t="s">
        <v>821</v>
      </c>
      <c r="D63" s="3" t="s">
        <v>740</v>
      </c>
      <c r="E63" s="3" t="s">
        <v>743</v>
      </c>
      <c r="F63" s="3" t="s">
        <v>822</v>
      </c>
      <c r="G63" s="3" t="s">
        <v>823</v>
      </c>
      <c r="H63" s="3" t="s">
        <v>824</v>
      </c>
      <c r="I63" s="3" t="s">
        <v>825</v>
      </c>
      <c r="J63" s="3" t="s">
        <v>826</v>
      </c>
      <c r="K63" s="3" t="s">
        <v>827</v>
      </c>
      <c r="L63" s="3" t="s">
        <v>828</v>
      </c>
    </row>
    <row r="64" spans="2:12" ht="22.05" customHeight="1" x14ac:dyDescent="0.3">
      <c r="B64" s="13" t="s">
        <v>829</v>
      </c>
      <c r="C64" s="29">
        <v>3</v>
      </c>
      <c r="D64" s="29">
        <v>3</v>
      </c>
      <c r="E64" s="29">
        <v>2</v>
      </c>
      <c r="F64" s="29">
        <v>2</v>
      </c>
      <c r="G64" s="29">
        <v>2</v>
      </c>
      <c r="H64" s="29">
        <v>1</v>
      </c>
      <c r="I64" s="29">
        <v>1</v>
      </c>
      <c r="J64" s="30">
        <f>5*SUM(C64:I64)</f>
        <v>70</v>
      </c>
      <c r="K64" s="31"/>
      <c r="L64" s="32" t="s">
        <v>830</v>
      </c>
    </row>
    <row r="65" spans="2:12" ht="34.950000000000003" customHeight="1" x14ac:dyDescent="0.3">
      <c r="B65" s="13" t="s">
        <v>831</v>
      </c>
      <c r="C65" s="33">
        <v>1</v>
      </c>
      <c r="D65" s="33">
        <v>1</v>
      </c>
      <c r="E65" s="33">
        <v>1</v>
      </c>
      <c r="F65" s="33">
        <v>4</v>
      </c>
      <c r="G65" s="33">
        <v>2</v>
      </c>
      <c r="H65" s="33">
        <v>5</v>
      </c>
      <c r="I65" s="33">
        <v>5</v>
      </c>
      <c r="J65" s="34">
        <f>SUMPRODUCT($C$64:$I$64,C65:I65)</f>
        <v>30</v>
      </c>
      <c r="K65" s="35">
        <f>RANK(J65,$J$65:$J$69)</f>
        <v>5</v>
      </c>
      <c r="L65" s="36" t="s">
        <v>832</v>
      </c>
    </row>
    <row r="66" spans="2:12" ht="34.950000000000003" customHeight="1" x14ac:dyDescent="0.3">
      <c r="B66" s="13" t="s">
        <v>833</v>
      </c>
      <c r="C66" s="33">
        <v>4</v>
      </c>
      <c r="D66" s="33">
        <v>5</v>
      </c>
      <c r="E66" s="33">
        <v>5</v>
      </c>
      <c r="F66" s="33">
        <v>3</v>
      </c>
      <c r="G66" s="33">
        <v>3</v>
      </c>
      <c r="H66" s="33">
        <v>4</v>
      </c>
      <c r="I66" s="33">
        <v>5</v>
      </c>
      <c r="J66" s="34">
        <f>SUMPRODUCT($C$64:$I$64,C66:I66)</f>
        <v>58</v>
      </c>
      <c r="K66" s="35">
        <f>RANK(J66,$J$65:$J$69)</f>
        <v>3</v>
      </c>
      <c r="L66" s="36" t="s">
        <v>834</v>
      </c>
    </row>
    <row r="67" spans="2:12" ht="34.950000000000003" customHeight="1" x14ac:dyDescent="0.3">
      <c r="B67" s="13" t="s">
        <v>835</v>
      </c>
      <c r="C67" s="33">
        <v>5</v>
      </c>
      <c r="D67" s="33">
        <v>5</v>
      </c>
      <c r="E67" s="33">
        <v>5</v>
      </c>
      <c r="F67" s="33">
        <v>2</v>
      </c>
      <c r="G67" s="33">
        <v>3</v>
      </c>
      <c r="H67" s="33">
        <v>4</v>
      </c>
      <c r="I67" s="33">
        <v>5</v>
      </c>
      <c r="J67" s="34">
        <f>SUMPRODUCT($C$64:$I$64,C67:I67)</f>
        <v>59</v>
      </c>
      <c r="K67" s="35">
        <f>RANK(J67,$J$65:$J$69)</f>
        <v>2</v>
      </c>
      <c r="L67" s="36" t="s">
        <v>836</v>
      </c>
    </row>
    <row r="68" spans="2:12" ht="34.950000000000003" customHeight="1" x14ac:dyDescent="0.3">
      <c r="B68" s="13" t="s">
        <v>837</v>
      </c>
      <c r="C68" s="33">
        <v>5</v>
      </c>
      <c r="D68" s="33">
        <v>5</v>
      </c>
      <c r="E68" s="33">
        <v>5</v>
      </c>
      <c r="F68" s="33">
        <v>4</v>
      </c>
      <c r="G68" s="33">
        <v>5</v>
      </c>
      <c r="H68" s="33">
        <v>2</v>
      </c>
      <c r="I68" s="33">
        <v>4</v>
      </c>
      <c r="J68" s="34">
        <f>SUMPRODUCT($C$64:$I$64,C68:I68)</f>
        <v>64</v>
      </c>
      <c r="K68" s="35">
        <f>RANK(J68,$J$65:$J$69)</f>
        <v>1</v>
      </c>
      <c r="L68" s="36" t="s">
        <v>838</v>
      </c>
    </row>
    <row r="69" spans="2:12" ht="34.950000000000003" customHeight="1" x14ac:dyDescent="0.3">
      <c r="B69" s="13" t="s">
        <v>839</v>
      </c>
      <c r="C69" s="33">
        <v>3</v>
      </c>
      <c r="D69" s="33">
        <v>2</v>
      </c>
      <c r="E69" s="33">
        <v>4</v>
      </c>
      <c r="F69" s="33">
        <v>1</v>
      </c>
      <c r="G69" s="33">
        <v>2</v>
      </c>
      <c r="H69" s="33">
        <v>2</v>
      </c>
      <c r="I69" s="33">
        <v>4</v>
      </c>
      <c r="J69" s="34">
        <f>SUMPRODUCT($C$64:$I$64,C69:I69)</f>
        <v>35</v>
      </c>
      <c r="K69" s="35">
        <f>RANK(J69,$J$65:$J$69)</f>
        <v>4</v>
      </c>
      <c r="L69" s="36" t="s">
        <v>840</v>
      </c>
    </row>
    <row r="70" spans="2:12" ht="7.95" customHeight="1" x14ac:dyDescent="0.3"/>
    <row r="71" spans="2:12" ht="34.950000000000003" customHeight="1" x14ac:dyDescent="0.3">
      <c r="B71" s="2" t="s">
        <v>583</v>
      </c>
      <c r="C71" s="55" t="s">
        <v>841</v>
      </c>
      <c r="D71" s="56"/>
      <c r="E71" s="56"/>
      <c r="F71" s="56"/>
      <c r="G71" s="56"/>
      <c r="H71" s="56"/>
      <c r="I71" s="56"/>
      <c r="J71" s="56"/>
      <c r="K71" s="56"/>
      <c r="L71" s="57"/>
    </row>
    <row r="72" spans="2:12" ht="6" customHeight="1" x14ac:dyDescent="0.3"/>
    <row r="73" spans="2:12" ht="10.050000000000001" customHeight="1" x14ac:dyDescent="0.3"/>
    <row r="74" spans="2:12" ht="25.35" customHeight="1" x14ac:dyDescent="0.3">
      <c r="B74" s="54" t="s">
        <v>842</v>
      </c>
      <c r="C74" s="53"/>
      <c r="D74" s="53"/>
      <c r="E74" s="53"/>
      <c r="F74" s="53"/>
      <c r="G74" s="53"/>
      <c r="H74" s="53"/>
      <c r="I74" s="53"/>
      <c r="J74" s="53"/>
      <c r="K74" s="53"/>
      <c r="L74" s="53"/>
    </row>
    <row r="75" spans="2:12" ht="4.05" customHeight="1" x14ac:dyDescent="0.3"/>
    <row r="76" spans="2:12" ht="22.5" customHeight="1" x14ac:dyDescent="0.3">
      <c r="B76" s="58" t="s">
        <v>843</v>
      </c>
      <c r="C76" s="51"/>
      <c r="D76" s="51"/>
      <c r="E76" s="51"/>
      <c r="F76" s="48"/>
      <c r="G76" s="58" t="s">
        <v>844</v>
      </c>
      <c r="H76" s="51"/>
      <c r="I76" s="51"/>
      <c r="J76" s="51"/>
      <c r="K76" s="51"/>
      <c r="L76" s="48"/>
    </row>
    <row r="77" spans="2:12" ht="20.55" customHeight="1" x14ac:dyDescent="0.3">
      <c r="B77" s="49" t="s">
        <v>845</v>
      </c>
      <c r="C77" s="51"/>
      <c r="D77" s="51"/>
      <c r="E77" s="51"/>
      <c r="F77" s="48"/>
      <c r="G77" s="49" t="s">
        <v>846</v>
      </c>
      <c r="H77" s="51"/>
      <c r="I77" s="51"/>
      <c r="J77" s="51"/>
      <c r="K77" s="51"/>
      <c r="L77" s="48"/>
    </row>
    <row r="78" spans="2:12" ht="20.55" customHeight="1" x14ac:dyDescent="0.3">
      <c r="B78" s="47" t="s">
        <v>847</v>
      </c>
      <c r="C78" s="51"/>
      <c r="D78" s="51"/>
      <c r="E78" s="51"/>
      <c r="F78" s="48"/>
      <c r="G78" s="47" t="s">
        <v>848</v>
      </c>
      <c r="H78" s="51"/>
      <c r="I78" s="51"/>
      <c r="J78" s="51"/>
      <c r="K78" s="51"/>
      <c r="L78" s="48"/>
    </row>
    <row r="79" spans="2:12" ht="33" customHeight="1" x14ac:dyDescent="0.3">
      <c r="B79" s="49" t="s">
        <v>849</v>
      </c>
      <c r="C79" s="51"/>
      <c r="D79" s="51"/>
      <c r="E79" s="51"/>
      <c r="F79" s="48"/>
      <c r="G79" s="49" t="s">
        <v>850</v>
      </c>
      <c r="H79" s="51"/>
      <c r="I79" s="51"/>
      <c r="J79" s="51"/>
      <c r="K79" s="51"/>
      <c r="L79" s="48"/>
    </row>
    <row r="80" spans="2:12" ht="20.55" customHeight="1" x14ac:dyDescent="0.3">
      <c r="B80" s="47" t="s">
        <v>851</v>
      </c>
      <c r="C80" s="51"/>
      <c r="D80" s="51"/>
      <c r="E80" s="51"/>
      <c r="F80" s="48"/>
      <c r="G80" s="47" t="s">
        <v>852</v>
      </c>
      <c r="H80" s="51"/>
      <c r="I80" s="51"/>
      <c r="J80" s="51"/>
      <c r="K80" s="51"/>
      <c r="L80" s="48"/>
    </row>
    <row r="81" spans="2:12" ht="20.55" customHeight="1" x14ac:dyDescent="0.3">
      <c r="B81" s="49" t="s">
        <v>853</v>
      </c>
      <c r="C81" s="51"/>
      <c r="D81" s="51"/>
      <c r="E81" s="51"/>
      <c r="F81" s="48"/>
      <c r="G81" s="49" t="s">
        <v>854</v>
      </c>
      <c r="H81" s="51"/>
      <c r="I81" s="51"/>
      <c r="J81" s="51"/>
      <c r="K81" s="51"/>
      <c r="L81" s="48"/>
    </row>
    <row r="82" spans="2:12" ht="7.95" customHeight="1" x14ac:dyDescent="0.3"/>
    <row r="83" spans="2:12" ht="10.050000000000001" customHeight="1" x14ac:dyDescent="0.3"/>
    <row r="84" spans="2:12" ht="25.35" customHeight="1" x14ac:dyDescent="0.3">
      <c r="B84" s="54" t="s">
        <v>855</v>
      </c>
      <c r="C84" s="53"/>
      <c r="D84" s="53"/>
      <c r="E84" s="53"/>
      <c r="F84" s="53"/>
      <c r="G84" s="53"/>
      <c r="H84" s="53"/>
      <c r="I84" s="53"/>
      <c r="J84" s="53"/>
      <c r="K84" s="53"/>
      <c r="L84" s="53"/>
    </row>
    <row r="85" spans="2:12" ht="4.05" customHeight="1" x14ac:dyDescent="0.3"/>
    <row r="86" spans="2:12" ht="46.95" customHeight="1" x14ac:dyDescent="0.3">
      <c r="B86" s="62" t="s">
        <v>856</v>
      </c>
      <c r="C86" s="53"/>
      <c r="D86" s="53"/>
      <c r="E86" s="53"/>
      <c r="F86" s="53"/>
      <c r="G86" s="53"/>
      <c r="H86" s="53"/>
      <c r="I86" s="53"/>
      <c r="J86" s="53"/>
      <c r="K86" s="53"/>
      <c r="L86" s="53"/>
    </row>
    <row r="87" spans="2:12" ht="4.05" customHeight="1" x14ac:dyDescent="0.3"/>
    <row r="88" spans="2:12" ht="33" customHeight="1" x14ac:dyDescent="0.3">
      <c r="B88" s="2" t="s">
        <v>17</v>
      </c>
      <c r="C88" s="55" t="s">
        <v>857</v>
      </c>
      <c r="D88" s="56"/>
      <c r="E88" s="56"/>
      <c r="F88" s="56"/>
      <c r="G88" s="56"/>
      <c r="H88" s="56"/>
      <c r="I88" s="56"/>
      <c r="J88" s="56"/>
      <c r="K88" s="56"/>
      <c r="L88" s="57"/>
    </row>
    <row r="89" spans="2:12" ht="6" customHeight="1" x14ac:dyDescent="0.3"/>
  </sheetData>
  <mergeCells count="75">
    <mergeCell ref="B5:L5"/>
    <mergeCell ref="B76:F76"/>
    <mergeCell ref="B80:F80"/>
    <mergeCell ref="I55:L55"/>
    <mergeCell ref="B79:F79"/>
    <mergeCell ref="D23:K23"/>
    <mergeCell ref="B32:L32"/>
    <mergeCell ref="C11:L11"/>
    <mergeCell ref="C88:L88"/>
    <mergeCell ref="C53:H53"/>
    <mergeCell ref="B34:L34"/>
    <mergeCell ref="B37:L37"/>
    <mergeCell ref="I47:L47"/>
    <mergeCell ref="C49:H49"/>
    <mergeCell ref="I54:L54"/>
    <mergeCell ref="G81:L81"/>
    <mergeCell ref="B84:L84"/>
    <mergeCell ref="B40:L40"/>
    <mergeCell ref="G77:L77"/>
    <mergeCell ref="B36:L36"/>
    <mergeCell ref="B74:L74"/>
    <mergeCell ref="I56:L56"/>
    <mergeCell ref="I53:L53"/>
    <mergeCell ref="C45:H45"/>
    <mergeCell ref="B86:L86"/>
    <mergeCell ref="B39:L39"/>
    <mergeCell ref="C52:H52"/>
    <mergeCell ref="B2:L2"/>
    <mergeCell ref="G79:L79"/>
    <mergeCell ref="D27:K27"/>
    <mergeCell ref="I46:L46"/>
    <mergeCell ref="C48:H48"/>
    <mergeCell ref="B14:L14"/>
    <mergeCell ref="I49:L49"/>
    <mergeCell ref="B61:L61"/>
    <mergeCell ref="B3:K3"/>
    <mergeCell ref="I45:L45"/>
    <mergeCell ref="G76:L76"/>
    <mergeCell ref="D17:K17"/>
    <mergeCell ref="B38:L38"/>
    <mergeCell ref="C7:L7"/>
    <mergeCell ref="G78:L78"/>
    <mergeCell ref="D22:K22"/>
    <mergeCell ref="C56:H56"/>
    <mergeCell ref="I50:L50"/>
    <mergeCell ref="C46:H46"/>
    <mergeCell ref="B43:L43"/>
    <mergeCell ref="C51:H51"/>
    <mergeCell ref="B77:F77"/>
    <mergeCell ref="D21:K21"/>
    <mergeCell ref="B78:F78"/>
    <mergeCell ref="D16:K16"/>
    <mergeCell ref="C10:L10"/>
    <mergeCell ref="D18:K18"/>
    <mergeCell ref="D25:K25"/>
    <mergeCell ref="B30:L30"/>
    <mergeCell ref="C8:L8"/>
    <mergeCell ref="C55:H55"/>
    <mergeCell ref="D19:K19"/>
    <mergeCell ref="B81:F81"/>
    <mergeCell ref="B59:L59"/>
    <mergeCell ref="I51:L51"/>
    <mergeCell ref="G80:L80"/>
    <mergeCell ref="C9:L9"/>
    <mergeCell ref="B33:L33"/>
    <mergeCell ref="D24:K24"/>
    <mergeCell ref="B35:L35"/>
    <mergeCell ref="C71:L71"/>
    <mergeCell ref="D20:K20"/>
    <mergeCell ref="D26:K26"/>
    <mergeCell ref="C47:H47"/>
    <mergeCell ref="I48:L48"/>
    <mergeCell ref="I52:L52"/>
    <mergeCell ref="C50:H50"/>
    <mergeCell ref="C54:H54"/>
  </mergeCells>
  <phoneticPr fontId="13"/>
  <conditionalFormatting sqref="J65:K69">
    <cfRule type="expression" dxfId="2" priority="1">
      <formula>$K65=1</formula>
    </cfRule>
  </conditionalFormatting>
  <dataValidations count="2">
    <dataValidation type="whole" showErrorMessage="1" errorTitle="入力エラー" error="重みは0〜5の整数で入力してください。" sqref="C64:I64" xr:uid="{00000000-0002-0000-0700-000000000000}">
      <formula1>0</formula1>
      <formula2>5</formula2>
    </dataValidation>
    <dataValidation type="whole" showErrorMessage="1" errorTitle="入力エラー" error="点数は1〜5の整数で入力してください。" sqref="C65:I69" xr:uid="{00000000-0002-0000-0700-000001000000}">
      <formula1>1</formula1>
      <formula2>5</formula2>
    </dataValidation>
  </dataValidations>
  <hyperlinks>
    <hyperlink ref="L3" location="'00_表紙'!A1" display="◀ 目次へ戻る" xr:uid="{00000000-0004-0000-07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1F1F"/>
    <pageSetUpPr fitToPage="1"/>
  </sheetPr>
  <dimension ref="B1:E18"/>
  <sheetViews>
    <sheetView showGridLines="0" workbookViewId="0">
      <pane ySplit="5" topLeftCell="A6" activePane="bottomLeft" state="frozen"/>
      <selection pane="bottomLeft"/>
    </sheetView>
  </sheetViews>
  <sheetFormatPr defaultRowHeight="14.4" x14ac:dyDescent="0.3"/>
  <cols>
    <col min="1" max="1" width="2.453125" customWidth="1"/>
    <col min="2" max="2" width="6" customWidth="1"/>
    <col min="3" max="3" width="36" customWidth="1"/>
    <col min="4" max="4" width="66" customWidth="1"/>
    <col min="5" max="5" width="32" customWidth="1"/>
    <col min="6" max="6" width="2.453125" customWidth="1"/>
  </cols>
  <sheetData>
    <row r="1" spans="2:5" ht="7.95" customHeight="1" x14ac:dyDescent="0.3"/>
    <row r="2" spans="2:5" ht="36" customHeight="1" x14ac:dyDescent="0.3">
      <c r="B2" s="61" t="s">
        <v>858</v>
      </c>
      <c r="C2" s="53"/>
      <c r="D2" s="53"/>
      <c r="E2" s="53"/>
    </row>
    <row r="3" spans="2:5" ht="24" customHeight="1" x14ac:dyDescent="0.3">
      <c r="B3" s="59" t="s">
        <v>859</v>
      </c>
      <c r="C3" s="53"/>
      <c r="D3" s="53"/>
      <c r="E3" s="7" t="s">
        <v>57</v>
      </c>
    </row>
    <row r="4" spans="2:5" ht="7.95" customHeight="1" x14ac:dyDescent="0.3"/>
    <row r="5" spans="2:5" ht="22.5" customHeight="1" x14ac:dyDescent="0.3">
      <c r="B5" s="3" t="s">
        <v>625</v>
      </c>
      <c r="C5" s="3" t="s">
        <v>860</v>
      </c>
      <c r="D5" s="3" t="s">
        <v>861</v>
      </c>
      <c r="E5" s="3" t="s">
        <v>17</v>
      </c>
    </row>
    <row r="6" spans="2:5" ht="34.950000000000003" customHeight="1" x14ac:dyDescent="0.3">
      <c r="B6" s="20" t="s">
        <v>633</v>
      </c>
      <c r="C6" s="5" t="s">
        <v>862</v>
      </c>
      <c r="D6" s="5" t="s">
        <v>863</v>
      </c>
      <c r="E6" s="5" t="s">
        <v>864</v>
      </c>
    </row>
    <row r="7" spans="2:5" ht="34.950000000000003" customHeight="1" x14ac:dyDescent="0.3">
      <c r="B7" s="25" t="s">
        <v>637</v>
      </c>
      <c r="C7" s="6" t="s">
        <v>865</v>
      </c>
      <c r="D7" s="6" t="s">
        <v>866</v>
      </c>
      <c r="E7" s="6" t="s">
        <v>867</v>
      </c>
    </row>
    <row r="8" spans="2:5" ht="34.950000000000003" customHeight="1" x14ac:dyDescent="0.3">
      <c r="B8" s="20" t="s">
        <v>641</v>
      </c>
      <c r="C8" s="5" t="s">
        <v>868</v>
      </c>
      <c r="D8" s="5" t="s">
        <v>869</v>
      </c>
      <c r="E8" s="5" t="s">
        <v>870</v>
      </c>
    </row>
    <row r="9" spans="2:5" ht="76.05" customHeight="1" x14ac:dyDescent="0.3">
      <c r="B9" s="25" t="s">
        <v>646</v>
      </c>
      <c r="C9" s="6" t="s">
        <v>871</v>
      </c>
      <c r="D9" s="6" t="s">
        <v>872</v>
      </c>
      <c r="E9" s="6" t="s">
        <v>873</v>
      </c>
    </row>
    <row r="10" spans="2:5" ht="34.950000000000003" customHeight="1" x14ac:dyDescent="0.3">
      <c r="B10" s="20" t="s">
        <v>602</v>
      </c>
      <c r="C10" s="5" t="s">
        <v>874</v>
      </c>
      <c r="D10" s="5" t="s">
        <v>875</v>
      </c>
      <c r="E10" s="5" t="s">
        <v>362</v>
      </c>
    </row>
    <row r="11" spans="2:5" ht="49.5" customHeight="1" x14ac:dyDescent="0.3">
      <c r="B11" s="25" t="s">
        <v>616</v>
      </c>
      <c r="C11" s="6" t="s">
        <v>876</v>
      </c>
      <c r="D11" s="6" t="s">
        <v>877</v>
      </c>
      <c r="E11" s="6" t="s">
        <v>878</v>
      </c>
    </row>
    <row r="12" spans="2:5" ht="34.950000000000003" customHeight="1" x14ac:dyDescent="0.3">
      <c r="B12" s="20" t="s">
        <v>655</v>
      </c>
      <c r="C12" s="5" t="s">
        <v>879</v>
      </c>
      <c r="D12" s="5" t="s">
        <v>880</v>
      </c>
      <c r="E12" s="5" t="s">
        <v>881</v>
      </c>
    </row>
    <row r="13" spans="2:5" ht="49.5" customHeight="1" x14ac:dyDescent="0.3">
      <c r="B13" s="25" t="s">
        <v>660</v>
      </c>
      <c r="C13" s="6" t="s">
        <v>882</v>
      </c>
      <c r="D13" s="6" t="s">
        <v>883</v>
      </c>
      <c r="E13" s="6" t="s">
        <v>884</v>
      </c>
    </row>
    <row r="14" spans="2:5" ht="61.95" customHeight="1" x14ac:dyDescent="0.3">
      <c r="B14" s="20" t="s">
        <v>665</v>
      </c>
      <c r="C14" s="5" t="s">
        <v>885</v>
      </c>
      <c r="D14" s="5" t="s">
        <v>886</v>
      </c>
      <c r="E14" s="5" t="s">
        <v>887</v>
      </c>
    </row>
    <row r="15" spans="2:5" ht="61.95" customHeight="1" x14ac:dyDescent="0.3">
      <c r="B15" s="25" t="s">
        <v>669</v>
      </c>
      <c r="C15" s="6" t="s">
        <v>888</v>
      </c>
      <c r="D15" s="6" t="s">
        <v>889</v>
      </c>
      <c r="E15" s="6" t="s">
        <v>890</v>
      </c>
    </row>
    <row r="16" spans="2:5" ht="49.5" customHeight="1" x14ac:dyDescent="0.3">
      <c r="B16" s="20" t="s">
        <v>673</v>
      </c>
      <c r="C16" s="5" t="s">
        <v>891</v>
      </c>
      <c r="D16" s="5" t="s">
        <v>892</v>
      </c>
      <c r="E16" s="5" t="s">
        <v>893</v>
      </c>
    </row>
    <row r="17" spans="2:5" ht="46.95" customHeight="1" x14ac:dyDescent="0.3">
      <c r="B17" s="25" t="s">
        <v>678</v>
      </c>
      <c r="C17" s="6" t="s">
        <v>894</v>
      </c>
      <c r="D17" s="6" t="s">
        <v>895</v>
      </c>
      <c r="E17" s="6" t="s">
        <v>896</v>
      </c>
    </row>
    <row r="18" spans="2:5" ht="7.95" customHeight="1" x14ac:dyDescent="0.3"/>
  </sheetData>
  <mergeCells count="2">
    <mergeCell ref="B3:D3"/>
    <mergeCell ref="B2:E2"/>
  </mergeCells>
  <phoneticPr fontId="13"/>
  <hyperlinks>
    <hyperlink ref="E3" location="'00_表紙'!A1" display="◀ 目次へ戻る" xr:uid="{00000000-0004-0000-08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95959"/>
    <pageSetUpPr fitToPage="1"/>
  </sheetPr>
  <dimension ref="B1:I45"/>
  <sheetViews>
    <sheetView showGridLines="0" workbookViewId="0">
      <pane ySplit="16" topLeftCell="A17" activePane="bottomLeft" state="frozen"/>
      <selection pane="bottomLeft"/>
    </sheetView>
  </sheetViews>
  <sheetFormatPr defaultRowHeight="14.4" x14ac:dyDescent="0.3"/>
  <cols>
    <col min="1" max="1" width="2.453125" customWidth="1"/>
    <col min="2" max="2" width="6" customWidth="1"/>
    <col min="3" max="3" width="12" customWidth="1"/>
    <col min="4" max="5" width="44" customWidth="1"/>
    <col min="6" max="6" width="10" customWidth="1"/>
    <col min="7" max="7" width="11" customWidth="1"/>
    <col min="8" max="8" width="12" customWidth="1"/>
    <col min="9" max="9" width="26" customWidth="1"/>
    <col min="10" max="10" width="2.453125" customWidth="1"/>
  </cols>
  <sheetData>
    <row r="1" spans="2:9" ht="7.95" customHeight="1" x14ac:dyDescent="0.3"/>
    <row r="2" spans="2:9" ht="36" customHeight="1" x14ac:dyDescent="0.3">
      <c r="B2" s="61" t="s">
        <v>897</v>
      </c>
      <c r="C2" s="53"/>
      <c r="D2" s="53"/>
      <c r="E2" s="53"/>
      <c r="F2" s="53"/>
      <c r="G2" s="53"/>
      <c r="H2" s="53"/>
      <c r="I2" s="53"/>
    </row>
    <row r="3" spans="2:9" ht="24" customHeight="1" x14ac:dyDescent="0.3">
      <c r="B3" s="59" t="s">
        <v>898</v>
      </c>
      <c r="C3" s="53"/>
      <c r="D3" s="53"/>
      <c r="E3" s="53"/>
      <c r="F3" s="53"/>
      <c r="G3" s="53"/>
      <c r="H3" s="53"/>
      <c r="I3" s="7" t="s">
        <v>57</v>
      </c>
    </row>
    <row r="4" spans="2:9" ht="7.95" customHeight="1" x14ac:dyDescent="0.3"/>
    <row r="5" spans="2:9" ht="24" customHeight="1" x14ac:dyDescent="0.3">
      <c r="B5" s="67" t="s">
        <v>899</v>
      </c>
      <c r="C5" s="57"/>
      <c r="D5" s="55" t="s">
        <v>900</v>
      </c>
      <c r="E5" s="56"/>
      <c r="F5" s="56"/>
      <c r="G5" s="56"/>
      <c r="H5" s="56"/>
      <c r="I5" s="57"/>
    </row>
    <row r="6" spans="2:9" ht="6" customHeight="1" x14ac:dyDescent="0.3"/>
    <row r="7" spans="2:9" ht="33" customHeight="1" x14ac:dyDescent="0.3">
      <c r="B7" s="66" t="s">
        <v>901</v>
      </c>
      <c r="C7" s="48"/>
      <c r="D7" s="37">
        <f>COUNTA($D$17:$D$44)-COUNTIF($F$17:$F$44,"対象外")</f>
        <v>28</v>
      </c>
    </row>
    <row r="8" spans="2:9" ht="22.05" customHeight="1" x14ac:dyDescent="0.3">
      <c r="B8" s="66" t="s">
        <v>902</v>
      </c>
      <c r="C8" s="48"/>
      <c r="D8" s="37">
        <f>COUNTIF($F$17:$F$44,"済")</f>
        <v>0</v>
      </c>
    </row>
    <row r="9" spans="2:9" ht="22.05" customHeight="1" x14ac:dyDescent="0.3">
      <c r="B9" s="66" t="s">
        <v>903</v>
      </c>
      <c r="C9" s="48"/>
      <c r="D9" s="37">
        <f>COUNTIF($F$17:$F$44,"要確認")</f>
        <v>0</v>
      </c>
    </row>
    <row r="10" spans="2:9" ht="22.05" customHeight="1" x14ac:dyDescent="0.3">
      <c r="B10" s="66" t="s">
        <v>904</v>
      </c>
      <c r="C10" s="48"/>
      <c r="D10" s="38">
        <f>IF(D7=0,0,D8/D7)</f>
        <v>0</v>
      </c>
    </row>
    <row r="11" spans="2:9" ht="10.050000000000001" customHeight="1" x14ac:dyDescent="0.3"/>
    <row r="12" spans="2:9" ht="19.95" customHeight="1" x14ac:dyDescent="0.3">
      <c r="B12" s="70" t="s">
        <v>905</v>
      </c>
      <c r="C12" s="53"/>
      <c r="D12" s="53"/>
      <c r="E12" s="53"/>
      <c r="F12" s="53"/>
      <c r="G12" s="53"/>
      <c r="H12" s="53"/>
      <c r="I12" s="53"/>
    </row>
    <row r="13" spans="2:9" ht="22.05" customHeight="1" x14ac:dyDescent="0.3">
      <c r="B13" s="3" t="s">
        <v>625</v>
      </c>
      <c r="C13" s="3" t="s">
        <v>447</v>
      </c>
      <c r="D13" s="3" t="s">
        <v>906</v>
      </c>
      <c r="E13" s="3" t="s">
        <v>907</v>
      </c>
      <c r="F13" s="3" t="s">
        <v>908</v>
      </c>
      <c r="G13" s="3" t="s">
        <v>909</v>
      </c>
      <c r="H13" s="3" t="s">
        <v>910</v>
      </c>
      <c r="I13" s="3" t="s">
        <v>911</v>
      </c>
    </row>
    <row r="14" spans="2:9" ht="33" customHeight="1" x14ac:dyDescent="0.3">
      <c r="B14" s="26" t="s">
        <v>325</v>
      </c>
      <c r="C14" s="39" t="s">
        <v>912</v>
      </c>
      <c r="D14" s="39" t="s">
        <v>913</v>
      </c>
      <c r="E14" s="39" t="s">
        <v>914</v>
      </c>
      <c r="F14" s="26" t="s">
        <v>915</v>
      </c>
      <c r="G14" s="26" t="s">
        <v>916</v>
      </c>
      <c r="H14" s="40">
        <v>46315</v>
      </c>
      <c r="I14" s="39" t="s">
        <v>917</v>
      </c>
    </row>
    <row r="15" spans="2:9" ht="12" customHeight="1" x14ac:dyDescent="0.3"/>
    <row r="16" spans="2:9" ht="24" customHeight="1" x14ac:dyDescent="0.3">
      <c r="B16" s="3" t="s">
        <v>625</v>
      </c>
      <c r="C16" s="3" t="s">
        <v>447</v>
      </c>
      <c r="D16" s="3" t="s">
        <v>906</v>
      </c>
      <c r="E16" s="3" t="s">
        <v>907</v>
      </c>
      <c r="F16" s="3" t="s">
        <v>908</v>
      </c>
      <c r="G16" s="3" t="s">
        <v>909</v>
      </c>
      <c r="H16" s="3" t="s">
        <v>910</v>
      </c>
      <c r="I16" s="3" t="s">
        <v>911</v>
      </c>
    </row>
    <row r="17" spans="2:9" ht="34.950000000000003" customHeight="1" x14ac:dyDescent="0.3">
      <c r="B17" s="20">
        <v>1</v>
      </c>
      <c r="C17" s="15" t="s">
        <v>912</v>
      </c>
      <c r="D17" s="16" t="s">
        <v>913</v>
      </c>
      <c r="E17" s="41" t="s">
        <v>918</v>
      </c>
      <c r="F17" s="29" t="s">
        <v>919</v>
      </c>
      <c r="G17" s="33"/>
      <c r="H17" s="42"/>
      <c r="I17" s="43"/>
    </row>
    <row r="18" spans="2:9" ht="34.950000000000003" customHeight="1" x14ac:dyDescent="0.3">
      <c r="B18" s="25">
        <v>2</v>
      </c>
      <c r="C18" s="15" t="s">
        <v>912</v>
      </c>
      <c r="D18" s="21" t="s">
        <v>920</v>
      </c>
      <c r="E18" s="44" t="s">
        <v>921</v>
      </c>
      <c r="F18" s="29" t="s">
        <v>919</v>
      </c>
      <c r="G18" s="33"/>
      <c r="H18" s="42"/>
      <c r="I18" s="43"/>
    </row>
    <row r="19" spans="2:9" ht="34.950000000000003" customHeight="1" x14ac:dyDescent="0.3">
      <c r="B19" s="20">
        <v>3</v>
      </c>
      <c r="C19" s="15" t="s">
        <v>912</v>
      </c>
      <c r="D19" s="16" t="s">
        <v>922</v>
      </c>
      <c r="E19" s="41" t="s">
        <v>923</v>
      </c>
      <c r="F19" s="29" t="s">
        <v>919</v>
      </c>
      <c r="G19" s="33"/>
      <c r="H19" s="42"/>
      <c r="I19" s="43"/>
    </row>
    <row r="20" spans="2:9" ht="46.95" customHeight="1" x14ac:dyDescent="0.3">
      <c r="B20" s="25">
        <v>4</v>
      </c>
      <c r="C20" s="15" t="s">
        <v>912</v>
      </c>
      <c r="D20" s="21" t="s">
        <v>924</v>
      </c>
      <c r="E20" s="44" t="s">
        <v>925</v>
      </c>
      <c r="F20" s="29" t="s">
        <v>919</v>
      </c>
      <c r="G20" s="33"/>
      <c r="H20" s="42"/>
      <c r="I20" s="43"/>
    </row>
    <row r="21" spans="2:9" ht="24" customHeight="1" x14ac:dyDescent="0.3">
      <c r="B21" s="20">
        <v>5</v>
      </c>
      <c r="C21" s="15" t="s">
        <v>912</v>
      </c>
      <c r="D21" s="16" t="s">
        <v>926</v>
      </c>
      <c r="E21" s="41" t="s">
        <v>927</v>
      </c>
      <c r="F21" s="29" t="s">
        <v>919</v>
      </c>
      <c r="G21" s="33"/>
      <c r="H21" s="42"/>
      <c r="I21" s="43"/>
    </row>
    <row r="22" spans="2:9" ht="33" customHeight="1" x14ac:dyDescent="0.3">
      <c r="B22" s="25">
        <v>6</v>
      </c>
      <c r="C22" s="15" t="s">
        <v>912</v>
      </c>
      <c r="D22" s="21" t="s">
        <v>928</v>
      </c>
      <c r="E22" s="44" t="s">
        <v>929</v>
      </c>
      <c r="F22" s="29" t="s">
        <v>919</v>
      </c>
      <c r="G22" s="33"/>
      <c r="H22" s="42"/>
      <c r="I22" s="43"/>
    </row>
    <row r="23" spans="2:9" ht="24" customHeight="1" x14ac:dyDescent="0.3">
      <c r="B23" s="20">
        <v>7</v>
      </c>
      <c r="C23" s="15" t="s">
        <v>912</v>
      </c>
      <c r="D23" s="16" t="s">
        <v>930</v>
      </c>
      <c r="E23" s="41" t="s">
        <v>931</v>
      </c>
      <c r="F23" s="29" t="s">
        <v>919</v>
      </c>
      <c r="G23" s="33"/>
      <c r="H23" s="42"/>
      <c r="I23" s="43"/>
    </row>
    <row r="24" spans="2:9" ht="24" customHeight="1" x14ac:dyDescent="0.3">
      <c r="B24" s="25">
        <v>8</v>
      </c>
      <c r="C24" s="15" t="s">
        <v>912</v>
      </c>
      <c r="D24" s="21" t="s">
        <v>932</v>
      </c>
      <c r="E24" s="44" t="s">
        <v>933</v>
      </c>
      <c r="F24" s="29" t="s">
        <v>919</v>
      </c>
      <c r="G24" s="33"/>
      <c r="H24" s="42"/>
      <c r="I24" s="43"/>
    </row>
    <row r="25" spans="2:9" ht="33" customHeight="1" x14ac:dyDescent="0.3">
      <c r="B25" s="20">
        <v>9</v>
      </c>
      <c r="C25" s="15" t="s">
        <v>934</v>
      </c>
      <c r="D25" s="16" t="s">
        <v>935</v>
      </c>
      <c r="E25" s="41" t="s">
        <v>936</v>
      </c>
      <c r="F25" s="29" t="s">
        <v>919</v>
      </c>
      <c r="G25" s="33"/>
      <c r="H25" s="42"/>
      <c r="I25" s="43"/>
    </row>
    <row r="26" spans="2:9" ht="24" customHeight="1" x14ac:dyDescent="0.3">
      <c r="B26" s="25">
        <v>10</v>
      </c>
      <c r="C26" s="15" t="s">
        <v>934</v>
      </c>
      <c r="D26" s="21" t="s">
        <v>937</v>
      </c>
      <c r="E26" s="44" t="s">
        <v>938</v>
      </c>
      <c r="F26" s="29" t="s">
        <v>919</v>
      </c>
      <c r="G26" s="33"/>
      <c r="H26" s="42"/>
      <c r="I26" s="43"/>
    </row>
    <row r="27" spans="2:9" ht="24" customHeight="1" x14ac:dyDescent="0.3">
      <c r="B27" s="20">
        <v>11</v>
      </c>
      <c r="C27" s="15" t="s">
        <v>934</v>
      </c>
      <c r="D27" s="16" t="s">
        <v>939</v>
      </c>
      <c r="E27" s="41" t="s">
        <v>940</v>
      </c>
      <c r="F27" s="29" t="s">
        <v>919</v>
      </c>
      <c r="G27" s="33"/>
      <c r="H27" s="42"/>
      <c r="I27" s="43"/>
    </row>
    <row r="28" spans="2:9" ht="24" customHeight="1" x14ac:dyDescent="0.3">
      <c r="B28" s="25">
        <v>12</v>
      </c>
      <c r="C28" s="15" t="s">
        <v>934</v>
      </c>
      <c r="D28" s="21" t="s">
        <v>941</v>
      </c>
      <c r="E28" s="44" t="s">
        <v>942</v>
      </c>
      <c r="F28" s="29" t="s">
        <v>919</v>
      </c>
      <c r="G28" s="33"/>
      <c r="H28" s="42"/>
      <c r="I28" s="43"/>
    </row>
    <row r="29" spans="2:9" ht="24" customHeight="1" x14ac:dyDescent="0.3">
      <c r="B29" s="20">
        <v>13</v>
      </c>
      <c r="C29" s="15" t="s">
        <v>934</v>
      </c>
      <c r="D29" s="16" t="s">
        <v>943</v>
      </c>
      <c r="E29" s="41" t="s">
        <v>944</v>
      </c>
      <c r="F29" s="29" t="s">
        <v>919</v>
      </c>
      <c r="G29" s="33"/>
      <c r="H29" s="42"/>
      <c r="I29" s="43"/>
    </row>
    <row r="30" spans="2:9" ht="34.950000000000003" customHeight="1" x14ac:dyDescent="0.3">
      <c r="B30" s="25">
        <v>14</v>
      </c>
      <c r="C30" s="15" t="s">
        <v>934</v>
      </c>
      <c r="D30" s="21" t="s">
        <v>945</v>
      </c>
      <c r="E30" s="44" t="s">
        <v>946</v>
      </c>
      <c r="F30" s="29" t="s">
        <v>919</v>
      </c>
      <c r="G30" s="33"/>
      <c r="H30" s="42"/>
      <c r="I30" s="43"/>
    </row>
    <row r="31" spans="2:9" ht="24" customHeight="1" x14ac:dyDescent="0.3">
      <c r="B31" s="20">
        <v>15</v>
      </c>
      <c r="C31" s="15" t="s">
        <v>661</v>
      </c>
      <c r="D31" s="16" t="s">
        <v>947</v>
      </c>
      <c r="E31" s="41" t="s">
        <v>948</v>
      </c>
      <c r="F31" s="29" t="s">
        <v>919</v>
      </c>
      <c r="G31" s="33"/>
      <c r="H31" s="42"/>
      <c r="I31" s="43"/>
    </row>
    <row r="32" spans="2:9" ht="34.950000000000003" customHeight="1" x14ac:dyDescent="0.3">
      <c r="B32" s="25">
        <v>16</v>
      </c>
      <c r="C32" s="15" t="s">
        <v>661</v>
      </c>
      <c r="D32" s="21" t="s">
        <v>949</v>
      </c>
      <c r="E32" s="44" t="s">
        <v>950</v>
      </c>
      <c r="F32" s="29" t="s">
        <v>919</v>
      </c>
      <c r="G32" s="33"/>
      <c r="H32" s="42"/>
      <c r="I32" s="43"/>
    </row>
    <row r="33" spans="2:9" ht="24" customHeight="1" x14ac:dyDescent="0.3">
      <c r="B33" s="20">
        <v>17</v>
      </c>
      <c r="C33" s="15" t="s">
        <v>661</v>
      </c>
      <c r="D33" s="16" t="s">
        <v>951</v>
      </c>
      <c r="E33" s="41" t="s">
        <v>952</v>
      </c>
      <c r="F33" s="29" t="s">
        <v>919</v>
      </c>
      <c r="G33" s="33"/>
      <c r="H33" s="42"/>
      <c r="I33" s="43"/>
    </row>
    <row r="34" spans="2:9" ht="24" customHeight="1" x14ac:dyDescent="0.3">
      <c r="B34" s="25">
        <v>18</v>
      </c>
      <c r="C34" s="15" t="s">
        <v>661</v>
      </c>
      <c r="D34" s="21" t="s">
        <v>953</v>
      </c>
      <c r="E34" s="44" t="s">
        <v>954</v>
      </c>
      <c r="F34" s="29" t="s">
        <v>919</v>
      </c>
      <c r="G34" s="33"/>
      <c r="H34" s="42"/>
      <c r="I34" s="43"/>
    </row>
    <row r="35" spans="2:9" ht="34.950000000000003" customHeight="1" x14ac:dyDescent="0.3">
      <c r="B35" s="20">
        <v>19</v>
      </c>
      <c r="C35" s="15" t="s">
        <v>661</v>
      </c>
      <c r="D35" s="16" t="s">
        <v>955</v>
      </c>
      <c r="E35" s="41" t="s">
        <v>956</v>
      </c>
      <c r="F35" s="29" t="s">
        <v>919</v>
      </c>
      <c r="G35" s="33"/>
      <c r="H35" s="42"/>
      <c r="I35" s="43"/>
    </row>
    <row r="36" spans="2:9" ht="24" customHeight="1" x14ac:dyDescent="0.3">
      <c r="B36" s="25">
        <v>20</v>
      </c>
      <c r="C36" s="15" t="s">
        <v>684</v>
      </c>
      <c r="D36" s="21" t="s">
        <v>957</v>
      </c>
      <c r="E36" s="44" t="s">
        <v>958</v>
      </c>
      <c r="F36" s="29" t="s">
        <v>919</v>
      </c>
      <c r="G36" s="33"/>
      <c r="H36" s="42"/>
      <c r="I36" s="43"/>
    </row>
    <row r="37" spans="2:9" ht="24" customHeight="1" x14ac:dyDescent="0.3">
      <c r="B37" s="20">
        <v>21</v>
      </c>
      <c r="C37" s="15" t="s">
        <v>684</v>
      </c>
      <c r="D37" s="16" t="s">
        <v>959</v>
      </c>
      <c r="E37" s="41" t="s">
        <v>960</v>
      </c>
      <c r="F37" s="29" t="s">
        <v>919</v>
      </c>
      <c r="G37" s="33"/>
      <c r="H37" s="42"/>
      <c r="I37" s="43"/>
    </row>
    <row r="38" spans="2:9" ht="24" customHeight="1" x14ac:dyDescent="0.3">
      <c r="B38" s="25">
        <v>22</v>
      </c>
      <c r="C38" s="15" t="s">
        <v>684</v>
      </c>
      <c r="D38" s="21" t="s">
        <v>961</v>
      </c>
      <c r="E38" s="44" t="s">
        <v>962</v>
      </c>
      <c r="F38" s="29" t="s">
        <v>919</v>
      </c>
      <c r="G38" s="33"/>
      <c r="H38" s="42"/>
      <c r="I38" s="43"/>
    </row>
    <row r="39" spans="2:9" ht="24" customHeight="1" x14ac:dyDescent="0.3">
      <c r="B39" s="20">
        <v>23</v>
      </c>
      <c r="C39" s="15" t="s">
        <v>684</v>
      </c>
      <c r="D39" s="16" t="s">
        <v>963</v>
      </c>
      <c r="E39" s="41" t="s">
        <v>964</v>
      </c>
      <c r="F39" s="29" t="s">
        <v>919</v>
      </c>
      <c r="G39" s="33"/>
      <c r="H39" s="42"/>
      <c r="I39" s="43"/>
    </row>
    <row r="40" spans="2:9" ht="24" customHeight="1" x14ac:dyDescent="0.3">
      <c r="B40" s="25">
        <v>24</v>
      </c>
      <c r="C40" s="15" t="s">
        <v>694</v>
      </c>
      <c r="D40" s="21" t="s">
        <v>965</v>
      </c>
      <c r="E40" s="44" t="s">
        <v>966</v>
      </c>
      <c r="F40" s="29" t="s">
        <v>919</v>
      </c>
      <c r="G40" s="33"/>
      <c r="H40" s="42"/>
      <c r="I40" s="43"/>
    </row>
    <row r="41" spans="2:9" ht="34.950000000000003" customHeight="1" x14ac:dyDescent="0.3">
      <c r="B41" s="20">
        <v>25</v>
      </c>
      <c r="C41" s="15" t="s">
        <v>694</v>
      </c>
      <c r="D41" s="16" t="s">
        <v>967</v>
      </c>
      <c r="E41" s="41" t="s">
        <v>968</v>
      </c>
      <c r="F41" s="29" t="s">
        <v>919</v>
      </c>
      <c r="G41" s="33"/>
      <c r="H41" s="42"/>
      <c r="I41" s="43"/>
    </row>
    <row r="42" spans="2:9" ht="24" customHeight="1" x14ac:dyDescent="0.3">
      <c r="B42" s="25">
        <v>26</v>
      </c>
      <c r="C42" s="15" t="s">
        <v>694</v>
      </c>
      <c r="D42" s="21" t="s">
        <v>969</v>
      </c>
      <c r="E42" s="44" t="s">
        <v>970</v>
      </c>
      <c r="F42" s="29" t="s">
        <v>919</v>
      </c>
      <c r="G42" s="33"/>
      <c r="H42" s="42"/>
      <c r="I42" s="43"/>
    </row>
    <row r="43" spans="2:9" ht="34.950000000000003" customHeight="1" x14ac:dyDescent="0.3">
      <c r="B43" s="20">
        <v>27</v>
      </c>
      <c r="C43" s="15" t="s">
        <v>694</v>
      </c>
      <c r="D43" s="16" t="s">
        <v>971</v>
      </c>
      <c r="E43" s="41" t="s">
        <v>972</v>
      </c>
      <c r="F43" s="29" t="s">
        <v>919</v>
      </c>
      <c r="G43" s="33"/>
      <c r="H43" s="42"/>
      <c r="I43" s="43"/>
    </row>
    <row r="44" spans="2:9" ht="33" customHeight="1" x14ac:dyDescent="0.3">
      <c r="B44" s="25">
        <v>28</v>
      </c>
      <c r="C44" s="15" t="s">
        <v>694</v>
      </c>
      <c r="D44" s="21" t="s">
        <v>973</v>
      </c>
      <c r="E44" s="44" t="s">
        <v>974</v>
      </c>
      <c r="F44" s="29" t="s">
        <v>919</v>
      </c>
      <c r="G44" s="33"/>
      <c r="H44" s="42"/>
      <c r="I44" s="43"/>
    </row>
    <row r="45" spans="2:9" ht="7.95" customHeight="1" x14ac:dyDescent="0.3"/>
  </sheetData>
  <mergeCells count="9">
    <mergeCell ref="B12:I12"/>
    <mergeCell ref="B7:C7"/>
    <mergeCell ref="D5:I5"/>
    <mergeCell ref="B5:C5"/>
    <mergeCell ref="B2:I2"/>
    <mergeCell ref="B10:C10"/>
    <mergeCell ref="B9:C9"/>
    <mergeCell ref="B3:H3"/>
    <mergeCell ref="B8:C8"/>
  </mergeCells>
  <phoneticPr fontId="13"/>
  <conditionalFormatting sqref="B17:I44">
    <cfRule type="expression" dxfId="1" priority="1">
      <formula>$F17="済"</formula>
    </cfRule>
  </conditionalFormatting>
  <conditionalFormatting sqref="F17:F44">
    <cfRule type="expression" dxfId="0" priority="2">
      <formula>$F17="要確認"</formula>
    </cfRule>
  </conditionalFormatting>
  <dataValidations count="2">
    <dataValidation type="list" allowBlank="1" showErrorMessage="1" errorTitle="入力エラー" error="未／済／対象外／要確認 から選んでください。" sqref="F17:F44" xr:uid="{00000000-0002-0000-0900-000000000000}">
      <formula1>"未,済,対象外,要確認"</formula1>
    </dataValidation>
    <dataValidation type="date" operator="greaterThan" allowBlank="1" showErrorMessage="1" errorTitle="入力エラー" error="日付を入力してください（例：2026/10/20）。" sqref="H17:H44" xr:uid="{00000000-0002-0000-0900-000001000000}">
      <formula1>DATE(2020,1,1)</formula1>
    </dataValidation>
  </dataValidations>
  <hyperlinks>
    <hyperlink ref="I3" location="'00_表紙'!A1" display="◀ 目次へ戻る" xr:uid="{00000000-0004-0000-09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C8C8C"/>
    <pageSetUpPr fitToPage="1"/>
  </sheetPr>
  <dimension ref="B1:E42"/>
  <sheetViews>
    <sheetView showGridLines="0" workbookViewId="0">
      <pane ySplit="5" topLeftCell="A6" activePane="bottomLeft" state="frozen"/>
      <selection pane="bottomLeft"/>
    </sheetView>
  </sheetViews>
  <sheetFormatPr defaultRowHeight="14.4" x14ac:dyDescent="0.3"/>
  <cols>
    <col min="1" max="1" width="2.453125" customWidth="1"/>
    <col min="2" max="2" width="26" customWidth="1"/>
    <col min="3" max="3" width="22" customWidth="1"/>
    <col min="4" max="4" width="64" customWidth="1"/>
    <col min="5" max="5" width="36" customWidth="1"/>
    <col min="6" max="6" width="2.453125" customWidth="1"/>
  </cols>
  <sheetData>
    <row r="1" spans="2:5" ht="7.95" customHeight="1" x14ac:dyDescent="0.3"/>
    <row r="2" spans="2:5" ht="36" customHeight="1" x14ac:dyDescent="0.3">
      <c r="B2" s="61" t="s">
        <v>975</v>
      </c>
      <c r="C2" s="53"/>
      <c r="D2" s="53"/>
      <c r="E2" s="53"/>
    </row>
    <row r="3" spans="2:5" ht="24" customHeight="1" x14ac:dyDescent="0.3">
      <c r="B3" s="59" t="s">
        <v>976</v>
      </c>
      <c r="C3" s="53"/>
      <c r="D3" s="53"/>
      <c r="E3" s="7" t="s">
        <v>57</v>
      </c>
    </row>
    <row r="4" spans="2:5" ht="7.95" customHeight="1" x14ac:dyDescent="0.3"/>
    <row r="5" spans="2:5" ht="22.5" customHeight="1" x14ac:dyDescent="0.3">
      <c r="B5" s="3" t="s">
        <v>977</v>
      </c>
      <c r="C5" s="3" t="s">
        <v>583</v>
      </c>
      <c r="D5" s="3" t="s">
        <v>978</v>
      </c>
      <c r="E5" s="3" t="s">
        <v>17</v>
      </c>
    </row>
    <row r="6" spans="2:5" ht="20.55" customHeight="1" x14ac:dyDescent="0.3">
      <c r="B6" s="8" t="s">
        <v>979</v>
      </c>
      <c r="C6" s="5" t="s">
        <v>980</v>
      </c>
      <c r="D6" s="5" t="s">
        <v>981</v>
      </c>
      <c r="E6" s="5" t="s">
        <v>982</v>
      </c>
    </row>
    <row r="7" spans="2:5" ht="34.950000000000003" customHeight="1" x14ac:dyDescent="0.3">
      <c r="B7" s="8" t="s">
        <v>983</v>
      </c>
      <c r="C7" s="6" t="s">
        <v>984</v>
      </c>
      <c r="D7" s="6" t="s">
        <v>985</v>
      </c>
      <c r="E7" s="6" t="s">
        <v>986</v>
      </c>
    </row>
    <row r="8" spans="2:5" ht="34.950000000000003" customHeight="1" x14ac:dyDescent="0.3">
      <c r="B8" s="8" t="s">
        <v>987</v>
      </c>
      <c r="C8" s="5" t="s">
        <v>988</v>
      </c>
      <c r="D8" s="5" t="s">
        <v>989</v>
      </c>
      <c r="E8" s="5" t="s">
        <v>990</v>
      </c>
    </row>
    <row r="9" spans="2:5" ht="20.55" customHeight="1" x14ac:dyDescent="0.3">
      <c r="B9" s="8" t="s">
        <v>360</v>
      </c>
      <c r="C9" s="6" t="s">
        <v>360</v>
      </c>
      <c r="D9" s="6" t="s">
        <v>991</v>
      </c>
      <c r="E9" s="6" t="s">
        <v>992</v>
      </c>
    </row>
    <row r="10" spans="2:5" ht="20.55" customHeight="1" x14ac:dyDescent="0.3">
      <c r="B10" s="8" t="s">
        <v>993</v>
      </c>
      <c r="C10" s="5" t="s">
        <v>994</v>
      </c>
      <c r="D10" s="5" t="s">
        <v>995</v>
      </c>
      <c r="E10" s="5" t="s">
        <v>996</v>
      </c>
    </row>
    <row r="11" spans="2:5" ht="20.55" customHeight="1" x14ac:dyDescent="0.3">
      <c r="B11" s="8" t="s">
        <v>997</v>
      </c>
      <c r="C11" s="6" t="s">
        <v>997</v>
      </c>
      <c r="D11" s="6" t="s">
        <v>998</v>
      </c>
      <c r="E11" s="6" t="s">
        <v>999</v>
      </c>
    </row>
    <row r="12" spans="2:5" ht="20.55" customHeight="1" x14ac:dyDescent="0.3">
      <c r="B12" s="8" t="s">
        <v>1000</v>
      </c>
      <c r="C12" s="5" t="s">
        <v>1001</v>
      </c>
      <c r="D12" s="5" t="s">
        <v>1002</v>
      </c>
      <c r="E12" s="5" t="s">
        <v>1003</v>
      </c>
    </row>
    <row r="13" spans="2:5" ht="20.55" customHeight="1" x14ac:dyDescent="0.3">
      <c r="B13" s="8" t="s">
        <v>1004</v>
      </c>
      <c r="C13" s="6" t="s">
        <v>1004</v>
      </c>
      <c r="D13" s="6" t="s">
        <v>1005</v>
      </c>
      <c r="E13" s="6" t="s">
        <v>1006</v>
      </c>
    </row>
    <row r="14" spans="2:5" ht="20.55" customHeight="1" x14ac:dyDescent="0.3">
      <c r="B14" s="8" t="s">
        <v>1007</v>
      </c>
      <c r="C14" s="5" t="s">
        <v>1008</v>
      </c>
      <c r="D14" s="5" t="s">
        <v>1009</v>
      </c>
      <c r="E14" s="5" t="s">
        <v>1010</v>
      </c>
    </row>
    <row r="15" spans="2:5" ht="20.55" customHeight="1" x14ac:dyDescent="0.3">
      <c r="B15" s="8" t="s">
        <v>1011</v>
      </c>
      <c r="C15" s="6" t="s">
        <v>1011</v>
      </c>
      <c r="D15" s="6" t="s">
        <v>1012</v>
      </c>
      <c r="E15" s="6" t="s">
        <v>276</v>
      </c>
    </row>
    <row r="16" spans="2:5" ht="20.55" customHeight="1" x14ac:dyDescent="0.3">
      <c r="B16" s="8" t="s">
        <v>1013</v>
      </c>
      <c r="C16" s="5" t="s">
        <v>1014</v>
      </c>
      <c r="D16" s="5" t="s">
        <v>1015</v>
      </c>
      <c r="E16" s="5" t="s">
        <v>1016</v>
      </c>
    </row>
    <row r="17" spans="2:5" ht="34.950000000000003" customHeight="1" x14ac:dyDescent="0.3">
      <c r="B17" s="8" t="s">
        <v>1017</v>
      </c>
      <c r="C17" s="6" t="s">
        <v>1018</v>
      </c>
      <c r="D17" s="6" t="s">
        <v>1019</v>
      </c>
      <c r="E17" s="6" t="s">
        <v>1020</v>
      </c>
    </row>
    <row r="18" spans="2:5" ht="20.55" customHeight="1" x14ac:dyDescent="0.3">
      <c r="B18" s="8" t="s">
        <v>92</v>
      </c>
      <c r="C18" s="5" t="s">
        <v>1021</v>
      </c>
      <c r="D18" s="5" t="s">
        <v>1022</v>
      </c>
      <c r="E18" s="5" t="s">
        <v>1023</v>
      </c>
    </row>
    <row r="19" spans="2:5" ht="20.55" customHeight="1" x14ac:dyDescent="0.3">
      <c r="B19" s="8" t="s">
        <v>1024</v>
      </c>
      <c r="C19" s="6" t="s">
        <v>1024</v>
      </c>
      <c r="D19" s="6" t="s">
        <v>1025</v>
      </c>
      <c r="E19" s="6" t="s">
        <v>1026</v>
      </c>
    </row>
    <row r="20" spans="2:5" ht="20.55" customHeight="1" x14ac:dyDescent="0.3">
      <c r="B20" s="8" t="s">
        <v>1027</v>
      </c>
      <c r="C20" s="5" t="s">
        <v>1028</v>
      </c>
      <c r="D20" s="5" t="s">
        <v>1029</v>
      </c>
      <c r="E20" s="5" t="s">
        <v>1030</v>
      </c>
    </row>
    <row r="21" spans="2:5" ht="20.55" customHeight="1" x14ac:dyDescent="0.3">
      <c r="B21" s="8" t="s">
        <v>1031</v>
      </c>
      <c r="C21" s="6" t="s">
        <v>1032</v>
      </c>
      <c r="D21" s="6" t="s">
        <v>1033</v>
      </c>
      <c r="E21" s="6" t="s">
        <v>1034</v>
      </c>
    </row>
    <row r="22" spans="2:5" ht="20.55" customHeight="1" x14ac:dyDescent="0.3">
      <c r="B22" s="8" t="s">
        <v>1035</v>
      </c>
      <c r="C22" s="5" t="s">
        <v>1036</v>
      </c>
      <c r="D22" s="5" t="s">
        <v>1037</v>
      </c>
      <c r="E22" s="5" t="s">
        <v>1038</v>
      </c>
    </row>
    <row r="23" spans="2:5" ht="20.55" customHeight="1" x14ac:dyDescent="0.3">
      <c r="B23" s="8" t="s">
        <v>1039</v>
      </c>
      <c r="C23" s="6" t="s">
        <v>1040</v>
      </c>
      <c r="D23" s="6" t="s">
        <v>1041</v>
      </c>
      <c r="E23" s="6" t="s">
        <v>1042</v>
      </c>
    </row>
    <row r="24" spans="2:5" ht="20.55" customHeight="1" x14ac:dyDescent="0.3">
      <c r="B24" s="8" t="s">
        <v>1043</v>
      </c>
      <c r="C24" s="5" t="s">
        <v>1044</v>
      </c>
      <c r="D24" s="5" t="s">
        <v>1045</v>
      </c>
      <c r="E24" s="5" t="s">
        <v>1046</v>
      </c>
    </row>
    <row r="25" spans="2:5" ht="20.55" customHeight="1" x14ac:dyDescent="0.3">
      <c r="B25" s="8" t="s">
        <v>1047</v>
      </c>
      <c r="C25" s="6" t="s">
        <v>1048</v>
      </c>
      <c r="D25" s="6" t="s">
        <v>1049</v>
      </c>
      <c r="E25" s="6" t="s">
        <v>1050</v>
      </c>
    </row>
    <row r="26" spans="2:5" ht="34.950000000000003" customHeight="1" x14ac:dyDescent="0.3">
      <c r="B26" s="8" t="s">
        <v>1051</v>
      </c>
      <c r="C26" s="5" t="s">
        <v>1052</v>
      </c>
      <c r="D26" s="5" t="s">
        <v>1053</v>
      </c>
      <c r="E26" s="5" t="s">
        <v>1054</v>
      </c>
    </row>
    <row r="27" spans="2:5" ht="34.950000000000003" customHeight="1" x14ac:dyDescent="0.3">
      <c r="B27" s="8" t="s">
        <v>1055</v>
      </c>
      <c r="C27" s="6" t="s">
        <v>1056</v>
      </c>
      <c r="D27" s="6" t="s">
        <v>1057</v>
      </c>
      <c r="E27" s="6" t="s">
        <v>1058</v>
      </c>
    </row>
    <row r="28" spans="2:5" ht="20.55" customHeight="1" x14ac:dyDescent="0.3">
      <c r="B28" s="8" t="s">
        <v>482</v>
      </c>
      <c r="C28" s="5" t="s">
        <v>482</v>
      </c>
      <c r="D28" s="5" t="s">
        <v>1059</v>
      </c>
      <c r="E28" s="5" t="s">
        <v>1060</v>
      </c>
    </row>
    <row r="29" spans="2:5" ht="20.55" customHeight="1" x14ac:dyDescent="0.3">
      <c r="B29" s="8" t="s">
        <v>1061</v>
      </c>
      <c r="C29" s="6" t="s">
        <v>1061</v>
      </c>
      <c r="D29" s="6" t="s">
        <v>1062</v>
      </c>
      <c r="E29" s="6" t="s">
        <v>1063</v>
      </c>
    </row>
    <row r="30" spans="2:5" ht="20.55" customHeight="1" x14ac:dyDescent="0.3">
      <c r="B30" s="8" t="s">
        <v>1064</v>
      </c>
      <c r="C30" s="5" t="s">
        <v>1064</v>
      </c>
      <c r="D30" s="5" t="s">
        <v>1065</v>
      </c>
      <c r="E30" s="5" t="s">
        <v>1066</v>
      </c>
    </row>
    <row r="31" spans="2:5" ht="34.950000000000003" customHeight="1" x14ac:dyDescent="0.3">
      <c r="B31" s="8" t="s">
        <v>1067</v>
      </c>
      <c r="C31" s="6" t="s">
        <v>1068</v>
      </c>
      <c r="D31" s="6" t="s">
        <v>1069</v>
      </c>
      <c r="E31" s="6" t="s">
        <v>1070</v>
      </c>
    </row>
    <row r="32" spans="2:5" ht="20.55" customHeight="1" x14ac:dyDescent="0.3">
      <c r="B32" s="8" t="s">
        <v>1071</v>
      </c>
      <c r="C32" s="5" t="s">
        <v>1072</v>
      </c>
      <c r="D32" s="5" t="s">
        <v>1073</v>
      </c>
      <c r="E32" s="5" t="s">
        <v>1074</v>
      </c>
    </row>
    <row r="33" spans="2:5" ht="20.55" customHeight="1" x14ac:dyDescent="0.3">
      <c r="B33" s="8" t="s">
        <v>1075</v>
      </c>
      <c r="C33" s="6" t="s">
        <v>1076</v>
      </c>
      <c r="D33" s="6" t="s">
        <v>1077</v>
      </c>
      <c r="E33" s="6" t="s">
        <v>1078</v>
      </c>
    </row>
    <row r="34" spans="2:5" ht="34.950000000000003" customHeight="1" x14ac:dyDescent="0.3">
      <c r="B34" s="8" t="s">
        <v>400</v>
      </c>
      <c r="C34" s="5" t="s">
        <v>1079</v>
      </c>
      <c r="D34" s="5" t="s">
        <v>1080</v>
      </c>
      <c r="E34" s="5" t="s">
        <v>1081</v>
      </c>
    </row>
    <row r="35" spans="2:5" ht="33" customHeight="1" x14ac:dyDescent="0.3">
      <c r="B35" s="8" t="s">
        <v>1082</v>
      </c>
      <c r="C35" s="6" t="s">
        <v>1083</v>
      </c>
      <c r="D35" s="6" t="s">
        <v>1084</v>
      </c>
      <c r="E35" s="6" t="s">
        <v>1085</v>
      </c>
    </row>
    <row r="36" spans="2:5" ht="33" customHeight="1" x14ac:dyDescent="0.3">
      <c r="B36" s="8" t="s">
        <v>1086</v>
      </c>
      <c r="C36" s="5" t="s">
        <v>1087</v>
      </c>
      <c r="D36" s="5" t="s">
        <v>1088</v>
      </c>
      <c r="E36" s="5" t="s">
        <v>1089</v>
      </c>
    </row>
    <row r="37" spans="2:5" ht="33" customHeight="1" x14ac:dyDescent="0.3">
      <c r="B37" s="8" t="s">
        <v>815</v>
      </c>
      <c r="C37" s="6" t="s">
        <v>1090</v>
      </c>
      <c r="D37" s="6" t="s">
        <v>1091</v>
      </c>
      <c r="E37" s="6" t="s">
        <v>1092</v>
      </c>
    </row>
    <row r="38" spans="2:5" ht="33" customHeight="1" x14ac:dyDescent="0.3">
      <c r="B38" s="8" t="s">
        <v>1093</v>
      </c>
      <c r="C38" s="5" t="s">
        <v>1094</v>
      </c>
      <c r="D38" s="5" t="s">
        <v>1095</v>
      </c>
      <c r="E38" s="5" t="s">
        <v>1096</v>
      </c>
    </row>
    <row r="39" spans="2:5" ht="20.55" customHeight="1" x14ac:dyDescent="0.3">
      <c r="B39" s="8" t="s">
        <v>1097</v>
      </c>
      <c r="C39" s="6" t="s">
        <v>1098</v>
      </c>
      <c r="D39" s="6" t="s">
        <v>1099</v>
      </c>
      <c r="E39" s="6" t="s">
        <v>1100</v>
      </c>
    </row>
    <row r="40" spans="2:5" ht="20.55" customHeight="1" x14ac:dyDescent="0.3">
      <c r="B40" s="8" t="s">
        <v>1101</v>
      </c>
      <c r="C40" s="5" t="s">
        <v>1102</v>
      </c>
      <c r="D40" s="5" t="s">
        <v>1103</v>
      </c>
      <c r="E40" s="5" t="s">
        <v>1104</v>
      </c>
    </row>
    <row r="41" spans="2:5" ht="20.55" customHeight="1" x14ac:dyDescent="0.3">
      <c r="B41" s="8" t="s">
        <v>1105</v>
      </c>
      <c r="C41" s="6" t="s">
        <v>1106</v>
      </c>
      <c r="D41" s="6" t="s">
        <v>1107</v>
      </c>
      <c r="E41" s="6" t="s">
        <v>1108</v>
      </c>
    </row>
    <row r="42" spans="2:5" ht="7.95" customHeight="1" x14ac:dyDescent="0.3"/>
  </sheetData>
  <mergeCells count="2">
    <mergeCell ref="B3:D3"/>
    <mergeCell ref="B2:E2"/>
  </mergeCells>
  <phoneticPr fontId="13"/>
  <hyperlinks>
    <hyperlink ref="E3" location="'00_表紙'!A1" display="◀ 目次へ戻る" xr:uid="{00000000-0004-0000-0A00-000000000000}"/>
  </hyperlinks>
  <printOptions horizontalCentered="1"/>
  <pageMargins left="0.4" right="0.4" top="0.5" bottom="0.5" header="0.5" footer="0.5"/>
  <pageSetup paperSize="9" fitToHeight="0" orientation="landscape"/>
  <headerFooter>
    <oddFooter>&amp;C&amp;"Meiryo UI"&amp;9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BFBF"/>
    <pageSetUpPr fitToPage="1"/>
  </sheetPr>
  <dimension ref="B1:F29"/>
  <sheetViews>
    <sheetView showGridLines="0" workbookViewId="0">
      <pane ySplit="5" topLeftCell="A6" activePane="bottomLeft" state="frozen"/>
      <selection pane="bottomLeft"/>
    </sheetView>
  </sheetViews>
  <sheetFormatPr defaultRowHeight="14.4" x14ac:dyDescent="0.3"/>
  <cols>
    <col min="1" max="1" width="2.453125" customWidth="1"/>
    <col min="2" max="2" width="6" customWidth="1"/>
    <col min="3" max="3" width="46" customWidth="1"/>
    <col min="4" max="4" width="20" customWidth="1"/>
    <col min="5" max="5" width="56" customWidth="1"/>
    <col min="6" max="6" width="46" customWidth="1"/>
    <col min="7" max="7" width="2.453125" customWidth="1"/>
  </cols>
  <sheetData>
    <row r="1" spans="2:6" ht="7.95" customHeight="1" x14ac:dyDescent="0.3"/>
    <row r="2" spans="2:6" ht="36" customHeight="1" x14ac:dyDescent="0.3">
      <c r="B2" s="61" t="s">
        <v>1109</v>
      </c>
      <c r="C2" s="53"/>
      <c r="D2" s="53"/>
      <c r="E2" s="53"/>
      <c r="F2" s="53"/>
    </row>
    <row r="3" spans="2:6" ht="24" customHeight="1" x14ac:dyDescent="0.3">
      <c r="B3" s="59" t="s">
        <v>1110</v>
      </c>
      <c r="C3" s="53"/>
      <c r="D3" s="53"/>
      <c r="E3" s="53"/>
      <c r="F3" s="7" t="s">
        <v>57</v>
      </c>
    </row>
    <row r="4" spans="2:6" ht="7.95" customHeight="1" x14ac:dyDescent="0.3"/>
    <row r="5" spans="2:6" ht="22.5" customHeight="1" x14ac:dyDescent="0.3">
      <c r="B5" s="3" t="s">
        <v>625</v>
      </c>
      <c r="C5" s="3" t="s">
        <v>1111</v>
      </c>
      <c r="D5" s="3" t="s">
        <v>1112</v>
      </c>
      <c r="E5" s="3" t="s">
        <v>1113</v>
      </c>
      <c r="F5" s="3" t="s">
        <v>1114</v>
      </c>
    </row>
    <row r="6" spans="2:6" ht="34.950000000000003" customHeight="1" x14ac:dyDescent="0.3">
      <c r="B6" s="20" t="s">
        <v>633</v>
      </c>
      <c r="C6" s="5" t="s">
        <v>1115</v>
      </c>
      <c r="D6" s="5" t="s">
        <v>1116</v>
      </c>
      <c r="E6" s="45" t="s">
        <v>1117</v>
      </c>
      <c r="F6" s="5" t="s">
        <v>1118</v>
      </c>
    </row>
    <row r="7" spans="2:6" ht="34.950000000000003" customHeight="1" x14ac:dyDescent="0.3">
      <c r="B7" s="25" t="s">
        <v>637</v>
      </c>
      <c r="C7" s="6" t="s">
        <v>1119</v>
      </c>
      <c r="D7" s="6" t="s">
        <v>1116</v>
      </c>
      <c r="E7" s="46" t="s">
        <v>1120</v>
      </c>
      <c r="F7" s="6" t="s">
        <v>1121</v>
      </c>
    </row>
    <row r="8" spans="2:6" ht="34.950000000000003" customHeight="1" x14ac:dyDescent="0.3">
      <c r="B8" s="20" t="s">
        <v>641</v>
      </c>
      <c r="C8" s="5" t="s">
        <v>1122</v>
      </c>
      <c r="D8" s="5" t="s">
        <v>1116</v>
      </c>
      <c r="E8" s="45" t="s">
        <v>1123</v>
      </c>
      <c r="F8" s="5" t="s">
        <v>1124</v>
      </c>
    </row>
    <row r="9" spans="2:6" ht="34.950000000000003" customHeight="1" x14ac:dyDescent="0.3">
      <c r="B9" s="25" t="s">
        <v>646</v>
      </c>
      <c r="C9" s="6" t="s">
        <v>1125</v>
      </c>
      <c r="D9" s="6" t="s">
        <v>1116</v>
      </c>
      <c r="E9" s="46" t="s">
        <v>1126</v>
      </c>
      <c r="F9" s="6" t="s">
        <v>1127</v>
      </c>
    </row>
    <row r="10" spans="2:6" ht="34.950000000000003" customHeight="1" x14ac:dyDescent="0.3">
      <c r="B10" s="20" t="s">
        <v>602</v>
      </c>
      <c r="C10" s="5" t="s">
        <v>1128</v>
      </c>
      <c r="D10" s="5" t="s">
        <v>1116</v>
      </c>
      <c r="E10" s="45" t="s">
        <v>1129</v>
      </c>
      <c r="F10" s="5" t="s">
        <v>1130</v>
      </c>
    </row>
    <row r="11" spans="2:6" ht="34.950000000000003" customHeight="1" x14ac:dyDescent="0.3">
      <c r="B11" s="25" t="s">
        <v>616</v>
      </c>
      <c r="C11" s="6" t="s">
        <v>1131</v>
      </c>
      <c r="D11" s="6" t="s">
        <v>1116</v>
      </c>
      <c r="E11" s="46" t="s">
        <v>1132</v>
      </c>
      <c r="F11" s="6" t="s">
        <v>1133</v>
      </c>
    </row>
    <row r="12" spans="2:6" ht="34.950000000000003" customHeight="1" x14ac:dyDescent="0.3">
      <c r="B12" s="20" t="s">
        <v>655</v>
      </c>
      <c r="C12" s="5" t="s">
        <v>1134</v>
      </c>
      <c r="D12" s="5" t="s">
        <v>1116</v>
      </c>
      <c r="E12" s="45" t="s">
        <v>1135</v>
      </c>
      <c r="F12" s="5" t="s">
        <v>1136</v>
      </c>
    </row>
    <row r="13" spans="2:6" ht="34.950000000000003" customHeight="1" x14ac:dyDescent="0.3">
      <c r="B13" s="25" t="s">
        <v>660</v>
      </c>
      <c r="C13" s="6" t="s">
        <v>1137</v>
      </c>
      <c r="D13" s="6" t="s">
        <v>1116</v>
      </c>
      <c r="E13" s="46" t="s">
        <v>1138</v>
      </c>
      <c r="F13" s="6" t="s">
        <v>1139</v>
      </c>
    </row>
    <row r="14" spans="2:6" ht="33" customHeight="1" x14ac:dyDescent="0.3">
      <c r="B14" s="20" t="s">
        <v>665</v>
      </c>
      <c r="C14" s="5" t="s">
        <v>1140</v>
      </c>
      <c r="D14" s="5" t="s">
        <v>1116</v>
      </c>
      <c r="E14" s="45" t="s">
        <v>1141</v>
      </c>
      <c r="F14" s="5" t="s">
        <v>1142</v>
      </c>
    </row>
    <row r="15" spans="2:6" ht="34.950000000000003" customHeight="1" x14ac:dyDescent="0.3">
      <c r="B15" s="25" t="s">
        <v>669</v>
      </c>
      <c r="C15" s="6" t="s">
        <v>1143</v>
      </c>
      <c r="D15" s="6" t="s">
        <v>1116</v>
      </c>
      <c r="E15" s="46" t="s">
        <v>1144</v>
      </c>
      <c r="F15" s="6" t="s">
        <v>1145</v>
      </c>
    </row>
    <row r="16" spans="2:6" ht="34.950000000000003" customHeight="1" x14ac:dyDescent="0.3">
      <c r="B16" s="20" t="s">
        <v>673</v>
      </c>
      <c r="C16" s="5" t="s">
        <v>1146</v>
      </c>
      <c r="D16" s="5" t="s">
        <v>1116</v>
      </c>
      <c r="E16" s="45" t="s">
        <v>1147</v>
      </c>
      <c r="F16" s="5" t="s">
        <v>1148</v>
      </c>
    </row>
    <row r="17" spans="2:6" ht="34.950000000000003" customHeight="1" x14ac:dyDescent="0.3">
      <c r="B17" s="25" t="s">
        <v>678</v>
      </c>
      <c r="C17" s="6" t="s">
        <v>1149</v>
      </c>
      <c r="D17" s="6" t="s">
        <v>1116</v>
      </c>
      <c r="E17" s="46" t="s">
        <v>1150</v>
      </c>
      <c r="F17" s="6" t="s">
        <v>1151</v>
      </c>
    </row>
    <row r="18" spans="2:6" ht="34.950000000000003" customHeight="1" x14ac:dyDescent="0.3">
      <c r="B18" s="20" t="s">
        <v>683</v>
      </c>
      <c r="C18" s="5" t="s">
        <v>1152</v>
      </c>
      <c r="D18" s="5" t="s">
        <v>1153</v>
      </c>
      <c r="E18" s="45" t="s">
        <v>1154</v>
      </c>
      <c r="F18" s="5" t="s">
        <v>1155</v>
      </c>
    </row>
    <row r="19" spans="2:6" ht="34.950000000000003" customHeight="1" x14ac:dyDescent="0.3">
      <c r="B19" s="25" t="s">
        <v>688</v>
      </c>
      <c r="C19" s="6" t="s">
        <v>1156</v>
      </c>
      <c r="D19" s="6" t="s">
        <v>1116</v>
      </c>
      <c r="E19" s="46" t="s">
        <v>1157</v>
      </c>
      <c r="F19" s="6" t="s">
        <v>1158</v>
      </c>
    </row>
    <row r="20" spans="2:6" ht="46.95" customHeight="1" x14ac:dyDescent="0.3">
      <c r="B20" s="20" t="s">
        <v>693</v>
      </c>
      <c r="C20" s="5" t="s">
        <v>1159</v>
      </c>
      <c r="D20" s="5" t="s">
        <v>1160</v>
      </c>
      <c r="E20" s="45" t="s">
        <v>1161</v>
      </c>
      <c r="F20" s="5" t="s">
        <v>1162</v>
      </c>
    </row>
    <row r="21" spans="2:6" ht="34.950000000000003" customHeight="1" x14ac:dyDescent="0.3">
      <c r="B21" s="25" t="s">
        <v>698</v>
      </c>
      <c r="C21" s="6" t="s">
        <v>1163</v>
      </c>
      <c r="D21" s="6" t="s">
        <v>1164</v>
      </c>
      <c r="E21" s="46" t="s">
        <v>1165</v>
      </c>
      <c r="F21" s="6" t="s">
        <v>1166</v>
      </c>
    </row>
    <row r="22" spans="2:6" ht="34.950000000000003" customHeight="1" x14ac:dyDescent="0.3">
      <c r="B22" s="20" t="s">
        <v>702</v>
      </c>
      <c r="C22" s="5" t="s">
        <v>1167</v>
      </c>
      <c r="D22" s="5" t="s">
        <v>1164</v>
      </c>
      <c r="E22" s="45" t="s">
        <v>1168</v>
      </c>
      <c r="F22" s="5" t="s">
        <v>1169</v>
      </c>
    </row>
    <row r="23" spans="2:6" ht="49.5" customHeight="1" x14ac:dyDescent="0.3">
      <c r="B23" s="25" t="s">
        <v>1170</v>
      </c>
      <c r="C23" s="6" t="s">
        <v>1171</v>
      </c>
      <c r="D23" s="6" t="s">
        <v>1172</v>
      </c>
      <c r="E23" s="46" t="s">
        <v>1173</v>
      </c>
      <c r="F23" s="6" t="s">
        <v>1174</v>
      </c>
    </row>
    <row r="24" spans="2:6" ht="20.55" customHeight="1" x14ac:dyDescent="0.3">
      <c r="B24" s="20" t="s">
        <v>1175</v>
      </c>
      <c r="C24" s="5" t="s">
        <v>1176</v>
      </c>
      <c r="D24" s="5" t="s">
        <v>1177</v>
      </c>
      <c r="E24" s="45" t="s">
        <v>1178</v>
      </c>
      <c r="F24" s="5" t="s">
        <v>1179</v>
      </c>
    </row>
    <row r="25" spans="2:6" ht="46.95" customHeight="1" x14ac:dyDescent="0.3">
      <c r="B25" s="25" t="s">
        <v>1180</v>
      </c>
      <c r="C25" s="6" t="s">
        <v>1181</v>
      </c>
      <c r="D25" s="6" t="s">
        <v>1172</v>
      </c>
      <c r="E25" s="46" t="s">
        <v>1182</v>
      </c>
      <c r="F25" s="6" t="s">
        <v>1183</v>
      </c>
    </row>
    <row r="26" spans="2:6" ht="34.950000000000003" customHeight="1" x14ac:dyDescent="0.3">
      <c r="B26" s="20" t="s">
        <v>1184</v>
      </c>
      <c r="C26" s="5" t="s">
        <v>1185</v>
      </c>
      <c r="D26" s="5" t="s">
        <v>1164</v>
      </c>
      <c r="E26" s="45" t="s">
        <v>1186</v>
      </c>
      <c r="F26" s="5" t="s">
        <v>1187</v>
      </c>
    </row>
    <row r="27" spans="2:6" ht="34.950000000000003" customHeight="1" x14ac:dyDescent="0.3">
      <c r="B27" s="25" t="s">
        <v>1188</v>
      </c>
      <c r="C27" s="6" t="s">
        <v>1189</v>
      </c>
      <c r="D27" s="6" t="s">
        <v>1190</v>
      </c>
      <c r="E27" s="46" t="s">
        <v>1191</v>
      </c>
      <c r="F27" s="6" t="s">
        <v>1192</v>
      </c>
    </row>
    <row r="28" spans="2:6" ht="34.950000000000003" customHeight="1" x14ac:dyDescent="0.3">
      <c r="B28" s="20" t="s">
        <v>1193</v>
      </c>
      <c r="C28" s="5" t="s">
        <v>1194</v>
      </c>
      <c r="D28" s="5" t="s">
        <v>1195</v>
      </c>
      <c r="E28" s="45" t="s">
        <v>1196</v>
      </c>
      <c r="F28" s="5" t="s">
        <v>1197</v>
      </c>
    </row>
    <row r="29" spans="2:6" ht="7.95" customHeight="1" x14ac:dyDescent="0.3"/>
  </sheetData>
  <mergeCells count="2">
    <mergeCell ref="B2:F2"/>
    <mergeCell ref="B3:E3"/>
  </mergeCells>
  <phoneticPr fontId="13"/>
  <hyperlinks>
    <hyperlink ref="F3" location="'00_表紙'!A1" display="◀ 目次へ戻る" xr:uid="{00000000-0004-0000-0B00-000000000000}"/>
    <hyperlink ref="E6" r:id="rId1" xr:uid="{00000000-0004-0000-0B00-000001000000}"/>
    <hyperlink ref="E7" r:id="rId2" xr:uid="{00000000-0004-0000-0B00-000002000000}"/>
    <hyperlink ref="E8" r:id="rId3" xr:uid="{00000000-0004-0000-0B00-000003000000}"/>
    <hyperlink ref="E9" r:id="rId4" xr:uid="{00000000-0004-0000-0B00-000004000000}"/>
    <hyperlink ref="E10" r:id="rId5" xr:uid="{00000000-0004-0000-0B00-000005000000}"/>
    <hyperlink ref="E11" r:id="rId6" xr:uid="{00000000-0004-0000-0B00-000006000000}"/>
    <hyperlink ref="E12" r:id="rId7" xr:uid="{00000000-0004-0000-0B00-000007000000}"/>
    <hyperlink ref="E13" r:id="rId8" xr:uid="{00000000-0004-0000-0B00-000008000000}"/>
    <hyperlink ref="E14" r:id="rId9" xr:uid="{00000000-0004-0000-0B00-000009000000}"/>
    <hyperlink ref="E15" r:id="rId10" xr:uid="{00000000-0004-0000-0B00-00000A000000}"/>
    <hyperlink ref="E16" r:id="rId11" xr:uid="{00000000-0004-0000-0B00-00000B000000}"/>
    <hyperlink ref="E17" r:id="rId12" xr:uid="{00000000-0004-0000-0B00-00000C000000}"/>
    <hyperlink ref="E18" r:id="rId13" xr:uid="{00000000-0004-0000-0B00-00000D000000}"/>
    <hyperlink ref="E19" r:id="rId14" xr:uid="{00000000-0004-0000-0B00-00000E000000}"/>
    <hyperlink ref="E20" r:id="rId15" xr:uid="{00000000-0004-0000-0B00-00000F000000}"/>
    <hyperlink ref="E21" r:id="rId16" xr:uid="{00000000-0004-0000-0B00-000010000000}"/>
    <hyperlink ref="E22" r:id="rId17" xr:uid="{00000000-0004-0000-0B00-000011000000}"/>
    <hyperlink ref="E23" r:id="rId18" xr:uid="{00000000-0004-0000-0B00-000012000000}"/>
    <hyperlink ref="E24" r:id="rId19" xr:uid="{00000000-0004-0000-0B00-000013000000}"/>
    <hyperlink ref="E25" r:id="rId20" xr:uid="{00000000-0004-0000-0B00-000014000000}"/>
    <hyperlink ref="E26" r:id="rId21" xr:uid="{00000000-0004-0000-0B00-000015000000}"/>
    <hyperlink ref="E27" r:id="rId22" xr:uid="{00000000-0004-0000-0B00-000016000000}"/>
    <hyperlink ref="E28" r:id="rId23" xr:uid="{00000000-0004-0000-0B00-000017000000}"/>
  </hyperlinks>
  <printOptions horizontalCentered="1"/>
  <pageMargins left="0.4" right="0.4" top="0.5" bottom="0.5" header="0.5" footer="0.5"/>
  <pageSetup paperSize="9" fitToHeight="0" orientation="landscape"/>
  <headerFooter>
    <oddFooter>&amp;C&amp;"Meiryo UI"&amp;9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17</vt:i4>
      </vt:variant>
    </vt:vector>
  </HeadingPairs>
  <TitlesOfParts>
    <vt:vector size="29" baseType="lpstr">
      <vt:lpstr>00_表紙</vt:lpstr>
      <vt:lpstr>01_やさしく解説</vt:lpstr>
      <vt:lpstr>02_歴史と背景</vt:lpstr>
      <vt:lpstr>03_エイリアスの仕組み</vt:lpstr>
      <vt:lpstr>04_ランタイムの基礎</vt:lpstr>
      <vt:lpstr>05_廃止予定表</vt:lpstr>
      <vt:lpstr>06_方式と手順</vt:lpstr>
      <vt:lpstr>07_方式の評価</vt:lpstr>
      <vt:lpstr>08_よくある質問</vt:lpstr>
      <vt:lpstr>09_チェックリスト</vt:lpstr>
      <vt:lpstr>10_用語集</vt:lpstr>
      <vt:lpstr>11_参考情報</vt:lpstr>
      <vt:lpstr>'00_表紙'!Print_Area</vt:lpstr>
      <vt:lpstr>'01_やさしく解説'!Print_Area</vt:lpstr>
      <vt:lpstr>'02_歴史と背景'!Print_Area</vt:lpstr>
      <vt:lpstr>'03_エイリアスの仕組み'!Print_Area</vt:lpstr>
      <vt:lpstr>'04_ランタイムの基礎'!Print_Area</vt:lpstr>
      <vt:lpstr>'05_廃止予定表'!Print_Area</vt:lpstr>
      <vt:lpstr>'06_方式と手順'!Print_Area</vt:lpstr>
      <vt:lpstr>'07_方式の評価'!Print_Area</vt:lpstr>
      <vt:lpstr>'08_よくある質問'!Print_Area</vt:lpstr>
      <vt:lpstr>'09_チェックリスト'!Print_Area</vt:lpstr>
      <vt:lpstr>'10_用語集'!Print_Area</vt:lpstr>
      <vt:lpstr>'11_参考情報'!Print_Area</vt:lpstr>
      <vt:lpstr>'05_廃止予定表'!Print_Titles</vt:lpstr>
      <vt:lpstr>'08_よくある質問'!Print_Titles</vt:lpstr>
      <vt:lpstr>'09_チェックリスト'!Print_Titles</vt:lpstr>
      <vt:lpstr>'10_用語集'!Print_Titles</vt:lpstr>
      <vt:lpstr>'11_参考情報'!Print_Titles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AWS Lambda ランタイム更新を「エイリアス切替」で行う方式 ― 解説と評価</dc:title>
  <dc:subject>AWS Lambda ランタイム更新とエイリアス機能の解説・評価</dc:subject>
  <dc:creator>Claude Code</dc:creator>
  <cp:keywords>AWS Lambda, alias, version, runtime, deprecation</cp:keywords>
  <cp:lastModifiedBy>貴彦 吉澤</cp:lastModifiedBy>
  <dcterms:created xsi:type="dcterms:W3CDTF">2026-10-16T19:06:49Z</dcterms:created>
  <dcterms:modified xsi:type="dcterms:W3CDTF">2026-10-16T19:08:08Z</dcterms:modified>
</cp:coreProperties>
</file>